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8_{CDB2CD2F-D10B-4E59-A6FE-4339180FE7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ote Schedule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" l="1"/>
  <c r="E19" i="1" s="1"/>
  <c r="C18" i="1"/>
  <c r="E21" i="1" l="1"/>
</calcChain>
</file>

<file path=xl/sharedStrings.xml><?xml version="1.0" encoding="utf-8"?>
<sst xmlns="http://schemas.openxmlformats.org/spreadsheetml/2006/main" count="32" uniqueCount="22">
  <si>
    <t>Client Name:</t>
  </si>
  <si>
    <t>COMP_0001</t>
  </si>
  <si>
    <t>Policy Period:</t>
  </si>
  <si>
    <t>01-Jan-2026 to 31-Dec-2026</t>
  </si>
  <si>
    <t>Coverage Tier:</t>
  </si>
  <si>
    <t>Comprehensive Enterprise Care</t>
  </si>
  <si>
    <t>Age Band</t>
  </si>
  <si>
    <t>Gender</t>
  </si>
  <si>
    <t>Headcount</t>
  </si>
  <si>
    <t>Average Rate / Life (RM)</t>
  </si>
  <si>
    <t>Total Premium (RM)</t>
  </si>
  <si>
    <t>18-30</t>
  </si>
  <si>
    <t>F</t>
  </si>
  <si>
    <t>M</t>
  </si>
  <si>
    <t>31-40</t>
  </si>
  <si>
    <t>41-50</t>
  </si>
  <si>
    <t>51-65</t>
  </si>
  <si>
    <t>Gross Annual Premium</t>
  </si>
  <si>
    <t>Service Tax (SST @ 8%)</t>
  </si>
  <si>
    <t>Stamp Duty</t>
  </si>
  <si>
    <t>TOTAL PAYABLE PREMIUM</t>
  </si>
  <si>
    <t>QUOTE SCHEDULE FORMAT (COMP_0001)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</si>
</sst>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1B365D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/>
    <xf numFmtId="3" fontId="2" fillId="0" borderId="0" xfId="0" applyNumberFormat="1" applyFont="1"/>
    <xf numFmtId="0" fontId="2" fillId="0" borderId="2" xfId="0" applyFont="1" applyBorder="1"/>
    <xf numFmtId="2" fontId="3" fillId="0" borderId="1" xfId="0" applyNumberFormat="1" applyFont="1" applyBorder="1"/>
    <xf numFmtId="2" fontId="0" fillId="0" borderId="0" xfId="0" applyNumberFormat="1"/>
    <xf numFmtId="2" fontId="2" fillId="0" borderId="0" xfId="0" applyNumberFormat="1" applyFont="1"/>
    <xf numFmtId="2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D23" sqref="D23"/>
    </sheetView>
  </sheetViews>
  <sheetFormatPr defaultRowHeight="14.4" x14ac:dyDescent="0.3"/>
  <cols>
    <col min="1" max="1" width="57" customWidth="1"/>
    <col min="2" max="2" width="33" customWidth="1"/>
    <col min="3" max="3" width="16" customWidth="1"/>
    <col min="4" max="4" width="28" customWidth="1"/>
    <col min="5" max="5" width="22" customWidth="1"/>
  </cols>
  <sheetData>
    <row r="1" spans="1:5" ht="21" x14ac:dyDescent="0.4">
      <c r="A1" s="1" t="s">
        <v>21</v>
      </c>
    </row>
    <row r="3" spans="1:5" x14ac:dyDescent="0.3">
      <c r="A3" s="2" t="s">
        <v>0</v>
      </c>
      <c r="B3" s="3" t="s">
        <v>1</v>
      </c>
    </row>
    <row r="4" spans="1:5" x14ac:dyDescent="0.3">
      <c r="A4" s="2" t="s">
        <v>2</v>
      </c>
      <c r="B4" s="3" t="s">
        <v>3</v>
      </c>
    </row>
    <row r="5" spans="1:5" x14ac:dyDescent="0.3">
      <c r="A5" s="2" t="s">
        <v>4</v>
      </c>
      <c r="B5" s="3" t="s">
        <v>5</v>
      </c>
    </row>
    <row r="8" spans="1:5" x14ac:dyDescent="0.3">
      <c r="A8" s="4" t="s">
        <v>6</v>
      </c>
      <c r="B8" s="4" t="s">
        <v>7</v>
      </c>
      <c r="C8" s="5" t="s">
        <v>8</v>
      </c>
      <c r="D8" s="5" t="s">
        <v>9</v>
      </c>
      <c r="E8" s="5" t="s">
        <v>10</v>
      </c>
    </row>
    <row r="9" spans="1:5" x14ac:dyDescent="0.3">
      <c r="A9" s="6" t="s">
        <v>11</v>
      </c>
      <c r="B9" s="6" t="s">
        <v>12</v>
      </c>
      <c r="C9" s="7">
        <v>19</v>
      </c>
      <c r="D9" s="10">
        <v>3580.75793826782</v>
      </c>
      <c r="E9" s="10">
        <v>68034.400827088568</v>
      </c>
    </row>
    <row r="10" spans="1:5" x14ac:dyDescent="0.3">
      <c r="A10" s="6" t="s">
        <v>11</v>
      </c>
      <c r="B10" s="6" t="s">
        <v>13</v>
      </c>
      <c r="C10" s="7">
        <v>20</v>
      </c>
      <c r="D10" s="10">
        <v>1055.6105630940349</v>
      </c>
      <c r="E10" s="10">
        <v>21112.2112618807</v>
      </c>
    </row>
    <row r="11" spans="1:5" x14ac:dyDescent="0.3">
      <c r="A11" s="6" t="s">
        <v>14</v>
      </c>
      <c r="B11" s="6" t="s">
        <v>12</v>
      </c>
      <c r="C11" s="7">
        <v>12</v>
      </c>
      <c r="D11" s="10">
        <v>2685.5629277712942</v>
      </c>
      <c r="E11" s="10">
        <v>32226.755133255519</v>
      </c>
    </row>
    <row r="12" spans="1:5" x14ac:dyDescent="0.3">
      <c r="A12" s="6" t="s">
        <v>14</v>
      </c>
      <c r="B12" s="6" t="s">
        <v>13</v>
      </c>
      <c r="C12" s="7">
        <v>20</v>
      </c>
      <c r="D12" s="10">
        <v>990.49157137459895</v>
      </c>
      <c r="E12" s="10">
        <v>19809.831427491979</v>
      </c>
    </row>
    <row r="13" spans="1:5" x14ac:dyDescent="0.3">
      <c r="A13" s="6" t="s">
        <v>15</v>
      </c>
      <c r="B13" s="6" t="s">
        <v>12</v>
      </c>
      <c r="C13" s="7">
        <v>12</v>
      </c>
      <c r="D13" s="10">
        <v>2331.2311592819228</v>
      </c>
      <c r="E13" s="10">
        <v>27974.773911383079</v>
      </c>
    </row>
    <row r="14" spans="1:5" x14ac:dyDescent="0.3">
      <c r="A14" s="6" t="s">
        <v>15</v>
      </c>
      <c r="B14" s="6" t="s">
        <v>13</v>
      </c>
      <c r="C14" s="7">
        <v>11</v>
      </c>
      <c r="D14" s="10">
        <v>698.35851988253273</v>
      </c>
      <c r="E14" s="10">
        <v>7681.9437187078602</v>
      </c>
    </row>
    <row r="15" spans="1:5" x14ac:dyDescent="0.3">
      <c r="A15" s="6" t="s">
        <v>16</v>
      </c>
      <c r="B15" s="6" t="s">
        <v>12</v>
      </c>
      <c r="C15" s="7">
        <v>20</v>
      </c>
      <c r="D15" s="10">
        <v>2115.2060914678459</v>
      </c>
      <c r="E15" s="10">
        <v>42304.121829356933</v>
      </c>
    </row>
    <row r="16" spans="1:5" x14ac:dyDescent="0.3">
      <c r="A16" s="6" t="s">
        <v>16</v>
      </c>
      <c r="B16" s="6" t="s">
        <v>13</v>
      </c>
      <c r="C16" s="7">
        <v>14</v>
      </c>
      <c r="D16" s="10">
        <v>769.57997435086656</v>
      </c>
      <c r="E16" s="10">
        <v>10774.119640912129</v>
      </c>
    </row>
    <row r="17" spans="1:5" x14ac:dyDescent="0.3">
      <c r="D17" s="11"/>
      <c r="E17" s="11"/>
    </row>
    <row r="18" spans="1:5" x14ac:dyDescent="0.3">
      <c r="A18" s="2" t="s">
        <v>17</v>
      </c>
      <c r="B18" s="2"/>
      <c r="C18" s="8">
        <f>SUM(C9:C16)</f>
        <v>128</v>
      </c>
      <c r="D18" s="12"/>
      <c r="E18" s="12">
        <f>SUM(E9:E16)</f>
        <v>229918.15775007679</v>
      </c>
    </row>
    <row r="19" spans="1:5" x14ac:dyDescent="0.3">
      <c r="A19" s="3" t="s">
        <v>18</v>
      </c>
      <c r="D19" s="11"/>
      <c r="E19" s="11">
        <f>E18*0.08</f>
        <v>18393.452620006145</v>
      </c>
    </row>
    <row r="20" spans="1:5" x14ac:dyDescent="0.3">
      <c r="A20" s="3" t="s">
        <v>19</v>
      </c>
      <c r="D20" s="11"/>
      <c r="E20" s="11">
        <v>10</v>
      </c>
    </row>
    <row r="21" spans="1:5" x14ac:dyDescent="0.3">
      <c r="A21" s="9" t="s">
        <v>20</v>
      </c>
      <c r="B21" s="9"/>
      <c r="C21" s="9"/>
      <c r="D21" s="13"/>
      <c r="E21" s="13">
        <f>E18+E19+E20</f>
        <v>248321.61037008293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QI WEN</cp:lastModifiedBy>
  <dcterms:created xsi:type="dcterms:W3CDTF">2026-08-30T12:50:31Z</dcterms:created>
  <dcterms:modified xsi:type="dcterms:W3CDTF">2026-08-30T13:01:44Z</dcterms:modified>
</cp:coreProperties>
</file>