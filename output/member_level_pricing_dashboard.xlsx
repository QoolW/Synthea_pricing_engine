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0B9A3C44-AD0E-4DEA-844E-3C4FB2737B7A}" xr6:coauthVersionLast="47" xr6:coauthVersionMax="47" xr10:uidLastSave="{00000000-0000-0000-0000-000000000000}"/>
  <bookViews>
    <workbookView xWindow="-108" yWindow="-108" windowWidth="23256" windowHeight="12456" xr2:uid="{74E247D9-6AD4-47EE-8EF6-2E01998AA356}"/>
  </bookViews>
  <sheets>
    <sheet name="Pivot tables" sheetId="2" r:id="rId1"/>
    <sheet name="member_level_pricing_output" sheetId="1" r:id="rId2"/>
  </sheets>
  <calcPr calcId="191029"/>
  <pivotCaches>
    <pivotCache cacheId="3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" l="1"/>
  <c r="O4" i="2"/>
  <c r="N4" i="2"/>
  <c r="E1276" i="1"/>
  <c r="E1420" i="1"/>
  <c r="E1392" i="1"/>
  <c r="E1189" i="1"/>
  <c r="E108" i="1"/>
  <c r="E1774" i="1"/>
  <c r="E740" i="1"/>
  <c r="E1842" i="1"/>
  <c r="E1548" i="1"/>
  <c r="E20" i="1"/>
  <c r="E773" i="1"/>
  <c r="E117" i="1"/>
  <c r="E1592" i="1"/>
  <c r="E1386" i="1"/>
  <c r="E736" i="1"/>
  <c r="E1190" i="1"/>
  <c r="E1053" i="1"/>
  <c r="E24" i="1"/>
  <c r="E830" i="1"/>
  <c r="E509" i="1"/>
  <c r="E235" i="1"/>
  <c r="E1139" i="1"/>
  <c r="E183" i="1"/>
  <c r="E1249" i="1"/>
  <c r="E820" i="1"/>
  <c r="E1652" i="1"/>
  <c r="E796" i="1"/>
  <c r="E80" i="1"/>
  <c r="E1515" i="1"/>
  <c r="E698" i="1"/>
  <c r="E714" i="1"/>
  <c r="E242" i="1"/>
  <c r="E1304" i="1"/>
  <c r="E1498" i="1"/>
  <c r="E808" i="1"/>
  <c r="E1565" i="1"/>
  <c r="E1747" i="1"/>
  <c r="E991" i="1"/>
  <c r="E1840" i="1"/>
  <c r="E1844" i="1"/>
  <c r="E130" i="1"/>
  <c r="E1094" i="1"/>
  <c r="E824" i="1"/>
  <c r="E813" i="1"/>
  <c r="E301" i="1"/>
  <c r="E554" i="1"/>
  <c r="E1480" i="1"/>
  <c r="E883" i="1"/>
  <c r="E169" i="1"/>
  <c r="E1019" i="1"/>
  <c r="E1144" i="1"/>
  <c r="E1070" i="1"/>
  <c r="E613" i="1"/>
  <c r="E334" i="1"/>
  <c r="E1414" i="1"/>
  <c r="E429" i="1"/>
  <c r="E55" i="1"/>
  <c r="E993" i="1"/>
  <c r="E657" i="1"/>
  <c r="E1578" i="1"/>
  <c r="E155" i="1"/>
  <c r="E457" i="1"/>
  <c r="E1514" i="1"/>
  <c r="E1389" i="1"/>
  <c r="E402" i="1"/>
  <c r="E378" i="1"/>
  <c r="E32" i="1"/>
  <c r="E329" i="1"/>
  <c r="E989" i="1"/>
  <c r="E1513" i="1"/>
  <c r="E951" i="1"/>
  <c r="E1861" i="1"/>
  <c r="E642" i="1"/>
  <c r="E126" i="1"/>
  <c r="E585" i="1"/>
  <c r="E931" i="1"/>
  <c r="E1888" i="1"/>
  <c r="E386" i="1"/>
  <c r="E734" i="1"/>
  <c r="E670" i="1"/>
  <c r="E982" i="1"/>
  <c r="E953" i="1"/>
  <c r="E1670" i="1"/>
  <c r="E1374" i="1"/>
  <c r="E630" i="1"/>
  <c r="E75" i="1"/>
  <c r="E12" i="1"/>
  <c r="E408" i="1"/>
  <c r="E1287" i="1"/>
  <c r="E1616" i="1"/>
  <c r="E567" i="1"/>
  <c r="E667" i="1"/>
  <c r="E1895" i="1"/>
  <c r="E153" i="1"/>
  <c r="E521" i="1"/>
  <c r="E1673" i="1"/>
  <c r="E1243" i="1"/>
  <c r="E1159" i="1"/>
  <c r="E1505" i="1"/>
  <c r="E1387" i="1"/>
  <c r="E663" i="1"/>
  <c r="E986" i="1"/>
  <c r="E1172" i="1"/>
  <c r="E925" i="1"/>
  <c r="E1346" i="1"/>
  <c r="E1105" i="1"/>
  <c r="E762" i="1"/>
  <c r="E1687" i="1"/>
  <c r="E1475" i="1"/>
  <c r="E1020" i="1"/>
  <c r="E1180" i="1"/>
  <c r="E1511" i="1"/>
  <c r="E465" i="1"/>
  <c r="E194" i="1"/>
  <c r="E967" i="1"/>
  <c r="E1568" i="1"/>
  <c r="E1231" i="1"/>
  <c r="E1325" i="1"/>
  <c r="E1382" i="1"/>
  <c r="E1342" i="1"/>
  <c r="E438" i="1"/>
  <c r="E1047" i="1"/>
  <c r="E1627" i="1"/>
  <c r="E858" i="1"/>
  <c r="E999" i="1"/>
  <c r="E447" i="1"/>
  <c r="E1417" i="1"/>
  <c r="E650" i="1"/>
  <c r="E958" i="1"/>
  <c r="E1197" i="1"/>
  <c r="E845" i="1"/>
  <c r="E775" i="1"/>
  <c r="E225" i="1"/>
  <c r="E536" i="1"/>
  <c r="E1712" i="1"/>
  <c r="E111" i="1"/>
  <c r="E884" i="1"/>
  <c r="E1571" i="1"/>
  <c r="E981" i="1"/>
  <c r="E1566" i="1"/>
  <c r="E1022" i="1"/>
  <c r="E15" i="1"/>
  <c r="E1534" i="1"/>
  <c r="E1524" i="1"/>
  <c r="E1739" i="1"/>
  <c r="E284" i="1"/>
  <c r="E722" i="1"/>
  <c r="E844" i="1"/>
  <c r="E1745" i="1"/>
  <c r="E1663" i="1"/>
  <c r="E1529" i="1"/>
  <c r="E1669" i="1"/>
  <c r="E811" i="1"/>
  <c r="E336" i="1"/>
  <c r="E582" i="1"/>
  <c r="E1525" i="1"/>
  <c r="E917" i="1"/>
  <c r="E1611" i="1"/>
  <c r="E1752" i="1"/>
  <c r="E620" i="1"/>
  <c r="E1322" i="1"/>
  <c r="E1119" i="1"/>
  <c r="E1599" i="1"/>
  <c r="E106" i="1"/>
  <c r="E795" i="1"/>
  <c r="E78" i="1"/>
  <c r="E308" i="1"/>
  <c r="E772" i="1"/>
  <c r="E1706" i="1"/>
  <c r="E809" i="1"/>
  <c r="E1079" i="1"/>
  <c r="E764" i="1"/>
  <c r="E422" i="1"/>
  <c r="E1711" i="1"/>
  <c r="E1330" i="1"/>
  <c r="E1437" i="1"/>
  <c r="E315" i="1"/>
  <c r="E1400" i="1"/>
  <c r="E1426" i="1"/>
  <c r="E1779" i="1"/>
  <c r="E1704" i="1"/>
  <c r="E898" i="1"/>
  <c r="E317" i="1"/>
  <c r="E1857" i="1"/>
  <c r="E1878" i="1"/>
  <c r="E1095" i="1"/>
  <c r="E217" i="1"/>
  <c r="E835" i="1"/>
  <c r="E910" i="1"/>
  <c r="E891" i="1"/>
  <c r="E748" i="1"/>
  <c r="E563" i="1"/>
  <c r="E1220" i="1"/>
  <c r="E1725" i="1"/>
  <c r="E66" i="1"/>
  <c r="E340" i="1"/>
  <c r="E25" i="1"/>
  <c r="E339" i="1"/>
  <c r="E282" i="1"/>
  <c r="E661" i="1"/>
  <c r="E257" i="1"/>
  <c r="E513" i="1"/>
  <c r="E68" i="1"/>
  <c r="E1733" i="1"/>
  <c r="E1784" i="1"/>
  <c r="E691" i="1"/>
  <c r="E349" i="1"/>
  <c r="E1129" i="1"/>
  <c r="E265" i="1"/>
  <c r="E1217" i="1"/>
  <c r="E1257" i="1"/>
  <c r="E1906" i="1"/>
  <c r="E1050" i="1"/>
  <c r="E1326" i="1"/>
  <c r="E1764" i="1"/>
  <c r="E60" i="1"/>
  <c r="E1082" i="1"/>
  <c r="E370" i="1"/>
  <c r="E724" i="1"/>
  <c r="E965" i="1"/>
  <c r="E1149" i="1"/>
  <c r="E1028" i="1"/>
  <c r="E28" i="1"/>
  <c r="E412" i="1"/>
  <c r="E730" i="1"/>
  <c r="E1880" i="1"/>
  <c r="E1315" i="1"/>
  <c r="E44" i="1"/>
  <c r="E1786" i="1"/>
  <c r="E983" i="1"/>
  <c r="E1200" i="1"/>
  <c r="E33" i="1"/>
  <c r="E269" i="1"/>
  <c r="E1112" i="1"/>
  <c r="E1891" i="1"/>
  <c r="E826" i="1"/>
  <c r="E1310" i="1"/>
  <c r="E426" i="1"/>
  <c r="E1316" i="1"/>
  <c r="E456" i="1"/>
  <c r="E1153" i="1"/>
  <c r="E1238" i="1"/>
  <c r="E326" i="1"/>
  <c r="E1148" i="1"/>
  <c r="E208" i="1"/>
  <c r="E1103" i="1"/>
  <c r="E1540" i="1"/>
  <c r="E501" i="1"/>
  <c r="E410" i="1"/>
  <c r="E1171" i="1"/>
  <c r="E1777" i="1"/>
  <c r="E1919" i="1"/>
  <c r="E964" i="1"/>
  <c r="E1497" i="1"/>
  <c r="E743" i="1"/>
  <c r="E888" i="1"/>
  <c r="E975" i="1"/>
  <c r="E452" i="1"/>
  <c r="E978" i="1"/>
  <c r="E1199" i="1"/>
  <c r="E264" i="1"/>
  <c r="E230" i="1"/>
  <c r="E309" i="1"/>
  <c r="E1029" i="1"/>
  <c r="E262" i="1"/>
  <c r="E167" i="1"/>
  <c r="E1914" i="1"/>
  <c r="E505" i="1"/>
  <c r="E1553" i="1"/>
  <c r="E70" i="1"/>
  <c r="E1054" i="1"/>
  <c r="E612" i="1"/>
  <c r="E1207" i="1"/>
  <c r="E988" i="1"/>
  <c r="E831" i="1"/>
  <c r="E1794" i="1"/>
  <c r="E96" i="1"/>
  <c r="E1033" i="1"/>
  <c r="E574" i="1"/>
  <c r="E1520" i="1"/>
  <c r="E133" i="1"/>
  <c r="E1474" i="1"/>
  <c r="E104" i="1"/>
  <c r="E803" i="1"/>
  <c r="E1430" i="1"/>
  <c r="E192" i="1"/>
  <c r="E222" i="1"/>
  <c r="E1445" i="1"/>
  <c r="E1224" i="1"/>
  <c r="E1039" i="1"/>
  <c r="E1849" i="1"/>
  <c r="E603" i="1"/>
  <c r="E717" i="1"/>
  <c r="E985" i="1"/>
  <c r="E742" i="1"/>
  <c r="E176" i="1"/>
  <c r="E715" i="1"/>
  <c r="E1424" i="1"/>
  <c r="E699" i="1"/>
  <c r="E1085" i="1"/>
  <c r="E1556" i="1"/>
  <c r="E148" i="1"/>
  <c r="E802" i="1"/>
  <c r="E185" i="1"/>
  <c r="E1517" i="1"/>
  <c r="E281" i="1"/>
  <c r="E214" i="1"/>
  <c r="E274" i="1"/>
  <c r="E427" i="1"/>
  <c r="E1812" i="1"/>
  <c r="E292" i="1"/>
  <c r="E1810" i="1"/>
  <c r="E950" i="1"/>
  <c r="E1077" i="1"/>
  <c r="E941" i="1"/>
  <c r="E1222" i="1"/>
  <c r="E307" i="1"/>
  <c r="E1726" i="1"/>
  <c r="E565" i="1"/>
  <c r="E1623" i="1"/>
  <c r="E224" i="1"/>
  <c r="E1209" i="1"/>
  <c r="E459" i="1"/>
  <c r="E1717" i="1"/>
  <c r="E525" i="1"/>
  <c r="E745" i="1"/>
  <c r="E866" i="1"/>
  <c r="E302" i="1"/>
  <c r="E1278" i="1"/>
  <c r="E1567" i="1"/>
  <c r="E1017" i="1"/>
  <c r="E1331" i="1"/>
  <c r="E623" i="1"/>
  <c r="E207" i="1"/>
  <c r="E1073" i="1"/>
  <c r="E1428" i="1"/>
  <c r="E635" i="1"/>
  <c r="E1340" i="1"/>
  <c r="E154" i="1"/>
  <c r="E411" i="1"/>
  <c r="E1479" i="1"/>
  <c r="E295" i="1"/>
  <c r="E849" i="1"/>
  <c r="E1879" i="1"/>
  <c r="E1864" i="1"/>
  <c r="E1004" i="1"/>
  <c r="E191" i="1"/>
  <c r="E1117" i="1"/>
  <c r="E380" i="1"/>
  <c r="E584" i="1"/>
  <c r="E876" i="1"/>
  <c r="E1721" i="1"/>
  <c r="E1467" i="1"/>
  <c r="E823" i="1"/>
  <c r="E1830" i="1"/>
  <c r="E1832" i="1"/>
  <c r="E1797" i="1"/>
  <c r="E1664" i="1"/>
  <c r="E1018" i="1"/>
  <c r="E593" i="1"/>
  <c r="E26" i="1"/>
  <c r="E1882" i="1"/>
  <c r="E1362" i="1"/>
  <c r="E351" i="1"/>
  <c r="E114" i="1"/>
  <c r="E1328" i="1"/>
  <c r="E1258" i="1"/>
  <c r="E1126" i="1"/>
  <c r="E1042" i="1"/>
  <c r="E552" i="1"/>
  <c r="E800" i="1"/>
  <c r="E1560" i="1"/>
  <c r="E1825" i="1"/>
  <c r="E1422" i="1"/>
  <c r="E711" i="1"/>
  <c r="E109" i="1"/>
  <c r="E162" i="1"/>
  <c r="E267" i="1"/>
  <c r="E1123" i="1"/>
  <c r="E1632" i="1"/>
  <c r="E1182" i="1"/>
  <c r="E543" i="1"/>
  <c r="E179" i="1"/>
  <c r="E1650" i="1"/>
  <c r="E446" i="1"/>
  <c r="E658" i="1"/>
  <c r="E1371" i="1"/>
  <c r="E1903" i="1"/>
  <c r="E1156" i="1"/>
  <c r="E453" i="1"/>
  <c r="E90" i="1"/>
  <c r="E869" i="1"/>
  <c r="E710" i="1"/>
  <c r="E1558" i="1"/>
  <c r="E1617" i="1"/>
  <c r="E1847" i="1"/>
  <c r="E333" i="1"/>
  <c r="E1007" i="1"/>
  <c r="E1317" i="1"/>
  <c r="E1297" i="1"/>
  <c r="E1292" i="1"/>
  <c r="E807" i="1"/>
  <c r="E940" i="1"/>
  <c r="E797" i="1"/>
  <c r="E1333" i="1"/>
  <c r="E283" i="1"/>
  <c r="E1142" i="1"/>
  <c r="E455" i="1"/>
  <c r="E1575" i="1"/>
  <c r="E919" i="1"/>
  <c r="E662" i="1"/>
  <c r="E649" i="1"/>
  <c r="E228" i="1"/>
  <c r="E1242" i="1"/>
  <c r="E510" i="1"/>
  <c r="E522" i="1"/>
  <c r="E29" i="1"/>
  <c r="E1785" i="1"/>
  <c r="E669" i="1"/>
  <c r="E597" i="1"/>
  <c r="E677" i="1"/>
  <c r="E268" i="1"/>
  <c r="E151" i="1"/>
  <c r="E1637" i="1"/>
  <c r="E506" i="1"/>
  <c r="E700" i="1"/>
  <c r="E1459" i="1"/>
  <c r="E1845" i="1"/>
  <c r="E87" i="1"/>
  <c r="E123" i="1"/>
  <c r="E234" i="1"/>
  <c r="E1005" i="1"/>
  <c r="E1528" i="1"/>
  <c r="E1672" i="1"/>
  <c r="E1477" i="1"/>
  <c r="E1169" i="1"/>
  <c r="E1234" i="1"/>
  <c r="E1781" i="1"/>
  <c r="E1603" i="1"/>
  <c r="E1358" i="1"/>
  <c r="E1731" i="1"/>
  <c r="E1917" i="1"/>
  <c r="E116" i="1"/>
  <c r="E1597" i="1"/>
  <c r="E1229" i="1"/>
  <c r="E31" i="1"/>
  <c r="E639" i="1"/>
  <c r="E588" i="1"/>
  <c r="E1818" i="1"/>
  <c r="E1502" i="1"/>
  <c r="E1841" i="1"/>
  <c r="E1283" i="1"/>
  <c r="E1838" i="1"/>
  <c r="E1865" i="1"/>
  <c r="E599" i="1"/>
  <c r="E1658" i="1"/>
  <c r="E399" i="1"/>
  <c r="E1057" i="1"/>
  <c r="E285" i="1"/>
  <c r="E58" i="1"/>
  <c r="E1025" i="1"/>
  <c r="E1892" i="1"/>
  <c r="E1175" i="1"/>
  <c r="E415" i="1"/>
  <c r="E1676" i="1"/>
  <c r="E332" i="1"/>
  <c r="E1722" i="1"/>
  <c r="E1615" i="1"/>
  <c r="E949" i="1"/>
  <c r="E626" i="1"/>
  <c r="E957" i="1"/>
  <c r="E62" i="1"/>
  <c r="E840" i="1"/>
  <c r="E347" i="1"/>
  <c r="E679" i="1"/>
  <c r="E1201" i="1"/>
  <c r="E1373" i="1"/>
  <c r="E900" i="1"/>
  <c r="E1698" i="1"/>
  <c r="E1347" i="1"/>
  <c r="E542" i="1"/>
  <c r="E352" i="1"/>
  <c r="E1727" i="1"/>
  <c r="E1697" i="1"/>
  <c r="E508" i="1"/>
  <c r="E1547" i="1"/>
  <c r="E1707" i="1"/>
  <c r="E34" i="1"/>
  <c r="E1108" i="1"/>
  <c r="E617" i="1"/>
  <c r="E798" i="1"/>
  <c r="E1607" i="1"/>
  <c r="E1753" i="1"/>
  <c r="E177" i="1"/>
  <c r="E1454" i="1"/>
  <c r="E1465" i="1"/>
  <c r="E468" i="1"/>
  <c r="E1401" i="1"/>
  <c r="E786" i="1"/>
  <c r="E767" i="1"/>
  <c r="E848" i="1"/>
  <c r="E706" i="1"/>
  <c r="E1014" i="1"/>
  <c r="E464" i="1"/>
  <c r="E1766" i="1"/>
  <c r="E741" i="1"/>
  <c r="E1195" i="1"/>
  <c r="E1485" i="1"/>
  <c r="E1435" i="1"/>
  <c r="E1100" i="1"/>
  <c r="E1290" i="1"/>
  <c r="E729" i="1"/>
  <c r="E461" i="1"/>
  <c r="E156" i="1"/>
  <c r="E782" i="1"/>
  <c r="E53" i="1"/>
  <c r="E1083" i="1"/>
  <c r="E1904" i="1"/>
  <c r="E608" i="1"/>
  <c r="E779" i="1"/>
  <c r="E1191" i="1"/>
  <c r="E1413" i="1"/>
  <c r="E783" i="1"/>
  <c r="E828" i="1"/>
  <c r="E1570" i="1"/>
  <c r="E1412" i="1"/>
  <c r="E702" i="1"/>
  <c r="E1363" i="1"/>
  <c r="E1471" i="1"/>
  <c r="E765" i="1"/>
  <c r="E1196" i="1"/>
  <c r="E164" i="1"/>
  <c r="E739" i="1"/>
  <c r="E1850" i="1"/>
  <c r="E855" i="1"/>
  <c r="E1241" i="1"/>
  <c r="E1244" i="1"/>
  <c r="E474" i="1"/>
  <c r="E1286" i="1"/>
  <c r="E1655" i="1"/>
  <c r="E1641" i="1"/>
  <c r="E1898" i="1"/>
  <c r="E35" i="1"/>
  <c r="E619" i="1"/>
  <c r="E122" i="1"/>
  <c r="E1801" i="1"/>
  <c r="E754" i="1"/>
  <c r="E1395" i="1"/>
  <c r="E1338" i="1"/>
  <c r="E1415" i="1"/>
  <c r="E846" i="1"/>
  <c r="E1912" i="1"/>
  <c r="E1620" i="1"/>
  <c r="E1541" i="1"/>
  <c r="E1124" i="1"/>
  <c r="E1154" i="1"/>
  <c r="E1393" i="1"/>
  <c r="E1862" i="1"/>
  <c r="E1352" i="1"/>
  <c r="E1754" i="1"/>
  <c r="E1594" i="1"/>
  <c r="E121" i="1"/>
  <c r="E1674" i="1"/>
  <c r="E959" i="1"/>
  <c r="E1216" i="1"/>
  <c r="E812" i="1"/>
  <c r="E290" i="1"/>
  <c r="E1883" i="1"/>
  <c r="E357" i="1"/>
  <c r="E1662" i="1"/>
  <c r="E1829" i="1"/>
  <c r="E175" i="1"/>
  <c r="E1920" i="1"/>
  <c r="E69" i="1"/>
  <c r="E1343" i="1"/>
  <c r="E744" i="1"/>
  <c r="E247" i="1"/>
  <c r="E1010" i="1"/>
  <c r="E881" i="1"/>
  <c r="E926" i="1"/>
  <c r="E1214" i="1"/>
  <c r="E312" i="1"/>
  <c r="E604" i="1"/>
  <c r="E962" i="1"/>
  <c r="E727" i="1"/>
  <c r="E389" i="1"/>
  <c r="E1555" i="1"/>
  <c r="E1394" i="1"/>
  <c r="E359" i="1"/>
  <c r="E136" i="1"/>
  <c r="E36" i="1"/>
  <c r="E67" i="1"/>
  <c r="E697" i="1"/>
  <c r="E514" i="1"/>
  <c r="E246" i="1"/>
  <c r="E1596" i="1"/>
  <c r="E572" i="1"/>
  <c r="E602" i="1"/>
  <c r="E1256" i="1"/>
  <c r="E810" i="1"/>
  <c r="E1836" i="1"/>
  <c r="E763" i="1"/>
  <c r="E1629" i="1"/>
  <c r="E1852" i="1"/>
  <c r="E1621" i="1"/>
  <c r="E1052" i="1"/>
  <c r="E1088" i="1"/>
  <c r="E481" i="1"/>
  <c r="E690" i="1"/>
  <c r="E73" i="1"/>
  <c r="E912" i="1"/>
  <c r="E271" i="1"/>
  <c r="E1751" i="1"/>
  <c r="E86" i="1"/>
  <c r="E127" i="1"/>
  <c r="E523" i="1"/>
  <c r="E1423" i="1"/>
  <c r="E298" i="1"/>
  <c r="E1114" i="1"/>
  <c r="E1434" i="1"/>
  <c r="E152" i="1"/>
  <c r="E490" i="1"/>
  <c r="E1391" i="1"/>
  <c r="E1313" i="1"/>
  <c r="E83" i="1"/>
  <c r="E878" i="1"/>
  <c r="E1120" i="1"/>
  <c r="E306" i="1"/>
  <c r="E1899" i="1"/>
  <c r="E583" i="1"/>
  <c r="E364" i="1"/>
  <c r="E279" i="1"/>
  <c r="E793" i="1"/>
  <c r="E475" i="1"/>
  <c r="E469" i="1"/>
  <c r="E960" i="1"/>
  <c r="E503" i="1"/>
  <c r="E270" i="1"/>
  <c r="E1327" i="1"/>
  <c r="E818" i="1"/>
  <c r="E365" i="1"/>
  <c r="E1076" i="1"/>
  <c r="E758" i="1"/>
  <c r="E1708" i="1"/>
  <c r="E923" i="1"/>
  <c r="E56" i="1"/>
  <c r="E244" i="1"/>
  <c r="E1040" i="1"/>
  <c r="E1378" i="1"/>
  <c r="E107" i="1"/>
  <c r="E1446" i="1"/>
  <c r="E976" i="1"/>
  <c r="E1228" i="1"/>
  <c r="E1037" i="1"/>
  <c r="E236" i="1"/>
  <c r="E1889" i="1"/>
  <c r="E870" i="1"/>
  <c r="E1001" i="1"/>
  <c r="E42" i="1"/>
  <c r="E873" i="1"/>
  <c r="E864" i="1"/>
  <c r="E1894" i="1"/>
  <c r="E1066" i="1"/>
  <c r="E1470" i="1"/>
  <c r="E1277" i="1"/>
  <c r="E150" i="1"/>
  <c r="E857" i="1"/>
  <c r="E622" i="1"/>
  <c r="E1113" i="1"/>
  <c r="E1055" i="1"/>
  <c r="E1355" i="1"/>
  <c r="E94" i="1"/>
  <c r="E1740" i="1"/>
  <c r="E471" i="1"/>
  <c r="E390" i="1"/>
  <c r="E1678" i="1"/>
  <c r="E856" i="1"/>
  <c r="E396" i="1"/>
  <c r="E1605" i="1"/>
  <c r="E1816" i="1"/>
  <c r="E777" i="1"/>
  <c r="E39" i="1"/>
  <c r="E1221" i="1"/>
  <c r="E76" i="1"/>
  <c r="E872" i="1"/>
  <c r="E1436" i="1"/>
  <c r="E149" i="1"/>
  <c r="E1456" i="1"/>
  <c r="E1192" i="1"/>
  <c r="E37" i="1"/>
  <c r="E695" i="1"/>
  <c r="E379" i="1"/>
  <c r="E1604" i="1"/>
  <c r="E591" i="1"/>
  <c r="E757" i="1"/>
  <c r="E249" i="1"/>
  <c r="E1051" i="1"/>
  <c r="E806" i="1"/>
  <c r="E1741" i="1"/>
  <c r="E435" i="1"/>
  <c r="E198" i="1"/>
  <c r="E1916" i="1"/>
  <c r="E1367" i="1"/>
  <c r="E277" i="1"/>
  <c r="E335" i="1"/>
  <c r="E1846" i="1"/>
  <c r="E1703" i="1"/>
  <c r="E479" i="1"/>
  <c r="E592" i="1"/>
  <c r="E84" i="1"/>
  <c r="E1296" i="1"/>
  <c r="E1593" i="1"/>
  <c r="E172" i="1"/>
  <c r="E862" i="1"/>
  <c r="E1536" i="1"/>
  <c r="E555" i="1"/>
  <c r="E890" i="1"/>
  <c r="E330" i="1"/>
  <c r="E540" i="1"/>
  <c r="E638" i="1"/>
  <c r="E1254" i="1"/>
  <c r="E922" i="1"/>
  <c r="E496" i="1"/>
  <c r="E675" i="1"/>
  <c r="E419" i="1"/>
  <c r="E595" i="1"/>
  <c r="E551" i="1"/>
  <c r="E171" i="1"/>
  <c r="E1388" i="1"/>
  <c r="E1910" i="1"/>
  <c r="E841" i="1"/>
  <c r="E1084" i="1"/>
  <c r="E1044" i="1"/>
  <c r="E1232" i="1"/>
  <c r="E1279" i="1"/>
  <c r="E1109" i="1"/>
  <c r="E971" i="1"/>
  <c r="E624" i="1"/>
  <c r="E373" i="1"/>
  <c r="E1501" i="1"/>
  <c r="E708" i="1"/>
  <c r="E1000" i="1"/>
  <c r="E112" i="1"/>
  <c r="E789" i="1"/>
  <c r="E1542" i="1"/>
  <c r="E1527" i="1"/>
  <c r="E368" i="1"/>
  <c r="E158" i="1"/>
  <c r="E128" i="1"/>
  <c r="E229" i="1"/>
  <c r="E1595" i="1"/>
  <c r="E1734" i="1"/>
  <c r="E1532" i="1"/>
  <c r="E906" i="1"/>
  <c r="E616" i="1"/>
  <c r="E1868" i="1"/>
  <c r="E573" i="1"/>
  <c r="E1495" i="1"/>
  <c r="E914" i="1"/>
  <c r="E577" i="1"/>
  <c r="E546" i="1"/>
  <c r="E1164" i="1"/>
  <c r="E436" i="1"/>
  <c r="E578" i="1"/>
  <c r="E454" i="1"/>
  <c r="E560" i="1"/>
  <c r="E643" i="1"/>
  <c r="E43" i="1"/>
  <c r="E1744" i="1"/>
  <c r="E251" i="1"/>
  <c r="E1590" i="1"/>
  <c r="E1170" i="1"/>
  <c r="E905" i="1"/>
  <c r="E1293" i="1"/>
  <c r="E1314" i="1"/>
  <c r="E199" i="1"/>
  <c r="E1178" i="1"/>
  <c r="E1381" i="1"/>
  <c r="E656" i="1"/>
  <c r="E1118" i="1"/>
  <c r="E1463" i="1"/>
  <c r="E1509" i="1"/>
  <c r="E1789" i="1"/>
  <c r="E1746" i="1"/>
  <c r="E182" i="1"/>
  <c r="E1715" i="1"/>
  <c r="E852" i="1"/>
  <c r="E1770" i="1"/>
  <c r="E1235" i="1"/>
  <c r="E1236" i="1"/>
  <c r="E937" i="1"/>
  <c r="E273" i="1"/>
  <c r="E1361" i="1"/>
  <c r="E140" i="1"/>
  <c r="E1448" i="1"/>
  <c r="E579" i="1"/>
  <c r="E1179" i="1"/>
  <c r="E1660" i="1"/>
  <c r="E125" i="1"/>
  <c r="E1380" i="1"/>
  <c r="E190" i="1"/>
  <c r="E1464" i="1"/>
  <c r="E299" i="1"/>
  <c r="E212" i="1"/>
  <c r="E515" i="1"/>
  <c r="E1642" i="1"/>
  <c r="E115" i="1"/>
  <c r="E1198" i="1"/>
  <c r="E569" i="1"/>
  <c r="E1671" i="1"/>
  <c r="E834" i="1"/>
  <c r="E356" i="1"/>
  <c r="E1390" i="1"/>
  <c r="E46" i="1"/>
  <c r="E157" i="1"/>
  <c r="E1225" i="1"/>
  <c r="E1496" i="1"/>
  <c r="E1408" i="1"/>
  <c r="E1481" i="1"/>
  <c r="E486" i="1"/>
  <c r="E1204" i="1"/>
  <c r="E45" i="1"/>
  <c r="E674" i="1"/>
  <c r="E1633" i="1"/>
  <c r="E485" i="1"/>
  <c r="E1299" i="1"/>
  <c r="E1194" i="1"/>
  <c r="E1069" i="1"/>
  <c r="E1539" i="1"/>
  <c r="E832" i="1"/>
  <c r="E1275" i="1"/>
  <c r="E9" i="1"/>
  <c r="E1659" i="1"/>
  <c r="E131" i="1"/>
  <c r="E1136" i="1"/>
  <c r="E1308" i="1"/>
  <c r="E1564" i="1"/>
  <c r="E1690" i="1"/>
  <c r="E939" i="1"/>
  <c r="E948" i="1"/>
  <c r="E752" i="1"/>
  <c r="E1569" i="1"/>
  <c r="E1769" i="1"/>
  <c r="E1518" i="1"/>
  <c r="E954" i="1"/>
  <c r="E1657" i="1"/>
  <c r="E631" i="1"/>
  <c r="E1160" i="1"/>
  <c r="E1208" i="1"/>
  <c r="E1738" i="1"/>
  <c r="E1284" i="1"/>
  <c r="E345" i="1"/>
  <c r="E672" i="1"/>
  <c r="E1226" i="1"/>
  <c r="E1908" i="1"/>
  <c r="E1305" i="1"/>
  <c r="E59" i="1"/>
  <c r="E654" i="1"/>
  <c r="E1579" i="1"/>
  <c r="E511" i="1"/>
  <c r="E990" i="1"/>
  <c r="E1366" i="1"/>
  <c r="E769" i="1"/>
  <c r="E733" i="1"/>
  <c r="E1121" i="1"/>
  <c r="E1482" i="1"/>
  <c r="E1072" i="1"/>
  <c r="E1411" i="1"/>
  <c r="E896" i="1"/>
  <c r="E1876" i="1"/>
  <c r="E1902" i="1"/>
  <c r="E1074" i="1"/>
  <c r="E609" i="1"/>
  <c r="E165" i="1"/>
  <c r="E1506" i="1"/>
  <c r="E1046" i="1"/>
  <c r="E1580" i="1"/>
  <c r="E531" i="1"/>
  <c r="E1107" i="1"/>
  <c r="E1484" i="1"/>
  <c r="E549" i="1"/>
  <c r="E1581" i="1"/>
  <c r="E659" i="1"/>
  <c r="E968" i="1"/>
  <c r="E1714" i="1"/>
  <c r="E1700" i="1"/>
  <c r="E143" i="1"/>
  <c r="E1106" i="1"/>
  <c r="E1260" i="1"/>
  <c r="E1576" i="1"/>
  <c r="E816" i="1"/>
  <c r="E1334" i="1"/>
  <c r="E178" i="1"/>
  <c r="E1280" i="1"/>
  <c r="E1563" i="1"/>
  <c r="E1788" i="1"/>
  <c r="E237" i="1"/>
  <c r="E704" i="1"/>
  <c r="E1677" i="1"/>
  <c r="E458" i="1"/>
  <c r="E791" i="1"/>
  <c r="E676" i="1"/>
  <c r="E1186" i="1"/>
  <c r="E1839" i="1"/>
  <c r="E327" i="1"/>
  <c r="E1653" i="1"/>
  <c r="E216" i="1"/>
  <c r="E405" i="1"/>
  <c r="E1718" i="1"/>
  <c r="E1324" i="1"/>
  <c r="E1742" i="1"/>
  <c r="E1811" i="1"/>
  <c r="E1656" i="1"/>
  <c r="E5" i="1"/>
  <c r="E634" i="1"/>
  <c r="E548" i="1"/>
  <c r="E371" i="1"/>
  <c r="E1462" i="1"/>
  <c r="E1730" i="1"/>
  <c r="E1246" i="1"/>
  <c r="E437" i="1"/>
  <c r="E1030" i="1"/>
  <c r="E2" i="1"/>
  <c r="E1870" i="1"/>
  <c r="E1335" i="1"/>
  <c r="E1351" i="1"/>
  <c r="E385" i="1"/>
  <c r="E889" i="1"/>
  <c r="E1884" i="1"/>
  <c r="E1128" i="1"/>
  <c r="E770" i="1"/>
  <c r="E1866" i="1"/>
  <c r="E671" i="1"/>
  <c r="E248" i="1"/>
  <c r="E1688" i="1"/>
  <c r="E1307" i="1"/>
  <c r="E678" i="1"/>
  <c r="E561" i="1"/>
  <c r="E707" i="1"/>
  <c r="E1773" i="1"/>
  <c r="E1724" i="1"/>
  <c r="E1038" i="1"/>
  <c r="E484" i="1"/>
  <c r="E1545" i="1"/>
  <c r="E1598" i="1"/>
  <c r="E223" i="1"/>
  <c r="E449" i="1"/>
  <c r="E358" i="1"/>
  <c r="E557" i="1"/>
  <c r="E105" i="1"/>
  <c r="E1877" i="1"/>
  <c r="E738" i="1"/>
  <c r="E1457" i="1"/>
  <c r="E142" i="1"/>
  <c r="E607" i="1"/>
  <c r="E1873" i="1"/>
  <c r="E1162" i="1"/>
  <c r="E713" i="1"/>
  <c r="E930" i="1"/>
  <c r="E1311" i="1"/>
  <c r="E1854" i="1"/>
  <c r="E681" i="1"/>
  <c r="E1651" i="1"/>
  <c r="E1668" i="1"/>
  <c r="E4" i="1"/>
  <c r="E1012" i="1"/>
  <c r="E1306" i="1"/>
  <c r="E1253" i="1"/>
  <c r="E1137" i="1"/>
  <c r="E291" i="1"/>
  <c r="E1215" i="1"/>
  <c r="E97" i="1"/>
  <c r="E921" i="1"/>
  <c r="E1101" i="1"/>
  <c r="E424" i="1"/>
  <c r="E1709" i="1"/>
  <c r="E1586" i="1"/>
  <c r="E787" i="1"/>
  <c r="E1068" i="1"/>
  <c r="E1853" i="1"/>
  <c r="E1614" i="1"/>
  <c r="E1843" i="1"/>
  <c r="E1210" i="1"/>
  <c r="E1710" i="1"/>
  <c r="E632" i="1"/>
  <c r="E38" i="1"/>
  <c r="E970" i="1"/>
  <c r="E1691" i="1"/>
  <c r="E1291" i="1"/>
  <c r="E1132" i="1"/>
  <c r="E1158" i="1"/>
  <c r="E575" i="1"/>
  <c r="E1574" i="1"/>
  <c r="E1577" i="1"/>
  <c r="E377" i="1"/>
  <c r="E735" i="1"/>
  <c r="E395" i="1"/>
  <c r="E1261" i="1"/>
  <c r="E1152" i="1"/>
  <c r="E129" i="1"/>
  <c r="E987" i="1"/>
  <c r="E1483" i="1"/>
  <c r="E196" i="1"/>
  <c r="E1787" i="1"/>
  <c r="E611" i="1"/>
  <c r="E492" i="1"/>
  <c r="E1282" i="1"/>
  <c r="E1665" i="1"/>
  <c r="E1667" i="1"/>
  <c r="E1265" i="1"/>
  <c r="E103" i="1"/>
  <c r="E1630" i="1"/>
  <c r="E994" i="1"/>
  <c r="E932" i="1"/>
  <c r="E1273" i="1"/>
  <c r="E404" i="1"/>
  <c r="E633" i="1"/>
  <c r="E701" i="1"/>
  <c r="E1855" i="1"/>
  <c r="E1521" i="1"/>
  <c r="E636" i="1"/>
  <c r="E961" i="1"/>
  <c r="E1443" i="1"/>
  <c r="E944" i="1"/>
  <c r="E145" i="1"/>
  <c r="E524" i="1"/>
  <c r="E693" i="1"/>
  <c r="E1264" i="1"/>
  <c r="E1303" i="1"/>
  <c r="E1645" i="1"/>
  <c r="E1219" i="1"/>
  <c r="E383" i="1"/>
  <c r="E952" i="1"/>
  <c r="E1122" i="1"/>
  <c r="E530" i="1"/>
  <c r="E1368" i="1"/>
  <c r="E1790" i="1"/>
  <c r="E421" i="1"/>
  <c r="E640" i="1"/>
  <c r="E1452" i="1"/>
  <c r="E288" i="1"/>
  <c r="E1155" i="1"/>
  <c r="E1494" i="1"/>
  <c r="E621" i="1"/>
  <c r="E1915" i="1"/>
  <c r="E1008" i="1"/>
  <c r="E580" i="1"/>
  <c r="E915" i="1"/>
  <c r="E448" i="1"/>
  <c r="E928" i="1"/>
  <c r="E1062" i="1"/>
  <c r="E568" i="1"/>
  <c r="E1086" i="1"/>
  <c r="E1205" i="1"/>
  <c r="E1488" i="1"/>
  <c r="E275" i="1"/>
  <c r="E564" i="1"/>
  <c r="E23" i="1"/>
  <c r="E1348" i="1"/>
  <c r="E502" i="1"/>
  <c r="E1087" i="1"/>
  <c r="E1133" i="1"/>
  <c r="E1466" i="1"/>
  <c r="E346" i="1"/>
  <c r="E1130" i="1"/>
  <c r="E768" i="1"/>
  <c r="E904" i="1"/>
  <c r="E6" i="1"/>
  <c r="E1312" i="1"/>
  <c r="E193" i="1"/>
  <c r="E369" i="1"/>
  <c r="E8" i="1"/>
  <c r="E331" i="1"/>
  <c r="E627" i="1"/>
  <c r="E877" i="1"/>
  <c r="E1472" i="1"/>
  <c r="E998" i="1"/>
  <c r="E71" i="1"/>
  <c r="E766" i="1"/>
  <c r="E1233" i="1"/>
  <c r="E861" i="1"/>
  <c r="E261" i="1"/>
  <c r="E52" i="1"/>
  <c r="E1559" i="1"/>
  <c r="E470" i="1"/>
  <c r="E500" i="1"/>
  <c r="E113" i="1"/>
  <c r="E1009" i="1"/>
  <c r="E451" i="1"/>
  <c r="E489" i="1"/>
  <c r="E1309" i="1"/>
  <c r="E1337" i="1"/>
  <c r="E850" i="1"/>
  <c r="E493" i="1"/>
  <c r="E1554" i="1"/>
  <c r="E785" i="1"/>
  <c r="E997" i="1"/>
  <c r="E814" i="1"/>
  <c r="E874" i="1"/>
  <c r="E1032" i="1"/>
  <c r="E1793" i="1"/>
  <c r="E1543" i="1"/>
  <c r="E1431" i="1"/>
  <c r="E837" i="1"/>
  <c r="E1901" i="1"/>
  <c r="E1111" i="1"/>
  <c r="E174" i="1"/>
  <c r="E1750" i="1"/>
  <c r="E1410" i="1"/>
  <c r="E725" i="1"/>
  <c r="E260" i="1"/>
  <c r="E1188" i="1"/>
  <c r="E1289" i="1"/>
  <c r="E1589" i="1"/>
  <c r="E341" i="1"/>
  <c r="E1885" i="1"/>
  <c r="E388" i="1"/>
  <c r="E1252" i="1"/>
  <c r="E615" i="1"/>
  <c r="E416" i="1"/>
  <c r="E1549" i="1"/>
  <c r="E1759" i="1"/>
  <c r="E1557" i="1"/>
  <c r="E1757" i="1"/>
  <c r="E651" i="1"/>
  <c r="E1255" i="1"/>
  <c r="E1827" i="1"/>
  <c r="E1385" i="1"/>
  <c r="E392" i="1"/>
  <c r="E1013" i="1"/>
  <c r="E432" i="1"/>
  <c r="E1689" i="1"/>
  <c r="E1049" i="1"/>
  <c r="E1526" i="1"/>
  <c r="E1643" i="1"/>
  <c r="E407" i="1"/>
  <c r="E829" i="1"/>
  <c r="E854" i="1"/>
  <c r="E1043" i="1"/>
  <c r="E1601" i="1"/>
  <c r="E1442" i="1"/>
  <c r="E1831" i="1"/>
  <c r="E1695" i="1"/>
  <c r="E1699" i="1"/>
  <c r="E972" i="1"/>
  <c r="E1897" i="1"/>
  <c r="E256" i="1"/>
  <c r="E1613" i="1"/>
  <c r="E1045" i="1"/>
  <c r="E942" i="1"/>
  <c r="E1298" i="1"/>
  <c r="E1771" i="1"/>
  <c r="E1405" i="1"/>
  <c r="E124" i="1"/>
  <c r="E723" i="1"/>
  <c r="E1174" i="1"/>
  <c r="E1271" i="1"/>
  <c r="E1441" i="1"/>
  <c r="E647" i="1"/>
  <c r="E1867" i="1"/>
  <c r="E553" i="1"/>
  <c r="E1447" i="1"/>
  <c r="E721" i="1"/>
  <c r="E805" i="1"/>
  <c r="E1609" i="1"/>
  <c r="E294" i="1"/>
  <c r="E666" i="1"/>
  <c r="E253" i="1"/>
  <c r="E648" i="1"/>
  <c r="E221" i="1"/>
  <c r="E652" i="1"/>
  <c r="E1561" i="1"/>
  <c r="E444" i="1"/>
  <c r="E278" i="1"/>
  <c r="E439" i="1"/>
  <c r="E1438" i="1"/>
  <c r="E17" i="1"/>
  <c r="E400" i="1"/>
  <c r="E1573" i="1"/>
  <c r="E541" i="1"/>
  <c r="E1728" i="1"/>
  <c r="E1455" i="1"/>
  <c r="E1535" i="1"/>
  <c r="E1427" i="1"/>
  <c r="E637" i="1"/>
  <c r="E610" i="1"/>
  <c r="E3" i="1"/>
  <c r="E817" i="1"/>
  <c r="E1245" i="1"/>
  <c r="E980" i="1"/>
  <c r="E1775" i="1"/>
  <c r="E1761" i="1"/>
  <c r="E761" i="1"/>
  <c r="E1267" i="1"/>
  <c r="E1591" i="1"/>
  <c r="E91" i="1"/>
  <c r="E992" i="1"/>
  <c r="E1227" i="1"/>
  <c r="E1409" i="1"/>
  <c r="E11" i="1"/>
  <c r="E1091" i="1"/>
  <c r="E867" i="1"/>
  <c r="E1418" i="1"/>
  <c r="E1138" i="1"/>
  <c r="E1516" i="1"/>
  <c r="E747" i="1"/>
  <c r="E790" i="1"/>
  <c r="E1350" i="1"/>
  <c r="E668" i="1"/>
  <c r="E996" i="1"/>
  <c r="E132" i="1"/>
  <c r="E1682" i="1"/>
  <c r="E1458" i="1"/>
  <c r="E1871" i="1"/>
  <c r="E477" i="1"/>
  <c r="E1173" i="1"/>
  <c r="E195" i="1"/>
  <c r="E1102" i="1"/>
  <c r="E1468" i="1"/>
  <c r="E1583" i="1"/>
  <c r="E1907" i="1"/>
  <c r="E1800" i="1"/>
  <c r="E1429" i="1"/>
  <c r="E1016" i="1"/>
  <c r="E892" i="1"/>
  <c r="E89" i="1"/>
  <c r="E938" i="1"/>
  <c r="E694" i="1"/>
  <c r="E215" i="1"/>
  <c r="E1127" i="1"/>
  <c r="E1021" i="1"/>
  <c r="E1263" i="1"/>
  <c r="E22" i="1"/>
  <c r="E1851" i="1"/>
  <c r="E1762" i="1"/>
  <c r="E1364" i="1"/>
  <c r="E440" i="1"/>
  <c r="E1729" i="1"/>
  <c r="E1274" i="1"/>
  <c r="E646" i="1"/>
  <c r="E1486" i="1"/>
  <c r="E1490" i="1"/>
  <c r="E589" i="1"/>
  <c r="E483" i="1"/>
  <c r="E865" i="1"/>
  <c r="E1546" i="1"/>
  <c r="E1863" i="1"/>
  <c r="E203" i="1"/>
  <c r="E1440" i="1"/>
  <c r="E205" i="1"/>
  <c r="E794" i="1"/>
  <c r="E903" i="1"/>
  <c r="E310" i="1"/>
  <c r="E804" i="1"/>
  <c r="E689" i="1"/>
  <c r="E1341" i="1"/>
  <c r="E209" i="1"/>
  <c r="E286" i="1"/>
  <c r="E1713" i="1"/>
  <c r="E10" i="1"/>
  <c r="E984" i="1"/>
  <c r="E532" i="1"/>
  <c r="E394" i="1"/>
  <c r="E547" i="1"/>
  <c r="E519" i="1"/>
  <c r="E41" i="1"/>
  <c r="E1872" i="1"/>
  <c r="E1833" i="1"/>
  <c r="E1360" i="1"/>
  <c r="E401" i="1"/>
  <c r="E1397" i="1"/>
  <c r="E187" i="1"/>
  <c r="E559" i="1"/>
  <c r="E600" i="1"/>
  <c r="E77" i="1"/>
  <c r="E250" i="1"/>
  <c r="E1821" i="1"/>
  <c r="E1451" i="1"/>
  <c r="E1301" i="1"/>
  <c r="E1768" i="1"/>
  <c r="E1002" i="1"/>
  <c r="E598" i="1"/>
  <c r="E788" i="1"/>
  <c r="E1015" i="1"/>
  <c r="E963" i="1"/>
  <c r="E822" i="1"/>
  <c r="E188" i="1"/>
  <c r="E1031" i="1"/>
  <c r="E644" i="1"/>
  <c r="E1701" i="1"/>
  <c r="E376" i="1"/>
  <c r="E1782" i="1"/>
  <c r="E936" i="1"/>
  <c r="E406" i="1"/>
  <c r="E316" i="1"/>
  <c r="E1089" i="1"/>
  <c r="E1272" i="1"/>
  <c r="E1181" i="1"/>
  <c r="E173" i="1"/>
  <c r="E1377" i="1"/>
  <c r="E1065" i="1"/>
  <c r="E499" i="1"/>
  <c r="E1819" i="1"/>
  <c r="E1795" i="1"/>
  <c r="E353" i="1"/>
  <c r="E1376" i="1"/>
  <c r="E1507" i="1"/>
  <c r="E979" i="1"/>
  <c r="E1820" i="1"/>
  <c r="E916" i="1"/>
  <c r="E1295" i="1"/>
  <c r="E287" i="1"/>
  <c r="E1679" i="1"/>
  <c r="E1176" i="1"/>
  <c r="E901" i="1"/>
  <c r="E550" i="1"/>
  <c r="E683" i="1"/>
  <c r="E197" i="1"/>
  <c r="E159" i="1"/>
  <c r="E590" i="1"/>
  <c r="E296" i="1"/>
  <c r="E1893" i="1"/>
  <c r="E166" i="1"/>
  <c r="E781" i="1"/>
  <c r="E1537" i="1"/>
  <c r="E1416" i="1"/>
  <c r="E403" i="1"/>
  <c r="E293" i="1"/>
  <c r="E538" i="1"/>
  <c r="E51" i="1"/>
  <c r="E1336" i="1"/>
  <c r="E1512" i="1"/>
  <c r="E1187" i="1"/>
  <c r="E252" i="1"/>
  <c r="E1473" i="1"/>
  <c r="E61" i="1"/>
  <c r="E118" i="1"/>
  <c r="E1749" i="1"/>
  <c r="E328" i="1"/>
  <c r="E1755" i="1"/>
  <c r="E1193" i="1"/>
  <c r="E1608" i="1"/>
  <c r="E1071" i="1"/>
  <c r="E860" i="1"/>
  <c r="E1625" i="1"/>
  <c r="E1099" i="1"/>
  <c r="E1223" i="1"/>
  <c r="E784" i="1"/>
  <c r="E1499" i="1"/>
  <c r="E1011" i="1"/>
  <c r="E1508" i="1"/>
  <c r="E1461" i="1"/>
  <c r="E1837" i="1"/>
  <c r="E420" i="1"/>
  <c r="E1778" i="1"/>
  <c r="E49" i="1"/>
  <c r="E1803" i="1"/>
  <c r="E516" i="1"/>
  <c r="E409" i="1"/>
  <c r="E705" i="1"/>
  <c r="E27" i="1"/>
  <c r="E1449" i="1"/>
  <c r="E1572" i="1"/>
  <c r="E716" i="1"/>
  <c r="E1165" i="1"/>
  <c r="E495" i="1"/>
  <c r="E95" i="1"/>
  <c r="E1034" i="1"/>
  <c r="E665" i="1"/>
  <c r="E1562" i="1"/>
  <c r="E760" i="1"/>
  <c r="E1638" i="1"/>
  <c r="E1814" i="1"/>
  <c r="E478" i="1"/>
  <c r="E1720" i="1"/>
  <c r="E660" i="1"/>
  <c r="E1765" i="1"/>
  <c r="E65" i="1"/>
  <c r="E168" i="1"/>
  <c r="E732" i="1"/>
  <c r="E1185" i="1"/>
  <c r="E943" i="1"/>
  <c r="E189" i="1"/>
  <c r="E859" i="1"/>
  <c r="E276" i="1"/>
  <c r="E72" i="1"/>
  <c r="E614" i="1"/>
  <c r="E480" i="1"/>
  <c r="E1544" i="1"/>
  <c r="E350" i="1"/>
  <c r="E1809" i="1"/>
  <c r="E110" i="1"/>
  <c r="E1240" i="1"/>
  <c r="E1453" i="1"/>
  <c r="E682" i="1"/>
  <c r="E1383" i="1"/>
  <c r="E431" i="1"/>
  <c r="E1403" i="1"/>
  <c r="E1150" i="1"/>
  <c r="E1259" i="1"/>
  <c r="E1406" i="1"/>
  <c r="E1619" i="1"/>
  <c r="E314" i="1"/>
  <c r="E218" i="1"/>
  <c r="E871" i="1"/>
  <c r="E880" i="1"/>
  <c r="E1661" i="1"/>
  <c r="E728" i="1"/>
  <c r="E1646" i="1"/>
  <c r="E202" i="1"/>
  <c r="E893" i="1"/>
  <c r="E425" i="1"/>
  <c r="E144" i="1"/>
  <c r="E1262" i="1"/>
  <c r="E759" i="1"/>
  <c r="E1519" i="1"/>
  <c r="E1606" i="1"/>
  <c r="E1805" i="1"/>
  <c r="E1239" i="1"/>
  <c r="E1489" i="1"/>
  <c r="E1685" i="1"/>
  <c r="E1533" i="1"/>
  <c r="E1602" i="1"/>
  <c r="E527" i="1"/>
  <c r="E441" i="1"/>
  <c r="E1141" i="1"/>
  <c r="E1530" i="1"/>
  <c r="E504" i="1"/>
  <c r="E497" i="1"/>
  <c r="E534" i="1"/>
  <c r="E266" i="1"/>
  <c r="E180" i="1"/>
  <c r="E226" i="1"/>
  <c r="E219" i="1"/>
  <c r="E1318" i="1"/>
  <c r="E1874" i="1"/>
  <c r="E1776" i="1"/>
  <c r="E204" i="1"/>
  <c r="E1681" i="1"/>
  <c r="E1869" i="1"/>
  <c r="E289" i="1"/>
  <c r="E227" i="1"/>
  <c r="E839" i="1"/>
  <c r="E1648" i="1"/>
  <c r="E692" i="1"/>
  <c r="E1354" i="1"/>
  <c r="E413" i="1"/>
  <c r="E1760" i="1"/>
  <c r="E1093" i="1"/>
  <c r="E885" i="1"/>
  <c r="E746" i="1"/>
  <c r="E709" i="1"/>
  <c r="E1634" i="1"/>
  <c r="E442" i="1"/>
  <c r="E1281" i="1"/>
  <c r="E897" i="1"/>
  <c r="E1302" i="1"/>
  <c r="E1826" i="1"/>
  <c r="E1058" i="1"/>
  <c r="E14" i="1"/>
  <c r="E526" i="1"/>
  <c r="E1146" i="1"/>
  <c r="E211" i="1"/>
  <c r="E1817" i="1"/>
  <c r="E1339" i="1"/>
  <c r="E1125" i="1"/>
  <c r="E146" i="1"/>
  <c r="E1134" i="1"/>
  <c r="E1523" i="1"/>
  <c r="E815" i="1"/>
  <c r="E1444" i="1"/>
  <c r="E1145" i="1"/>
  <c r="E838" i="1"/>
  <c r="E491" i="1"/>
  <c r="E1896" i="1"/>
  <c r="E1683" i="1"/>
  <c r="E1161" i="1"/>
  <c r="E367" i="1"/>
  <c r="E780" i="1"/>
  <c r="E463" i="1"/>
  <c r="E1732" i="1"/>
  <c r="E687" i="1"/>
  <c r="E1588" i="1"/>
  <c r="E280" i="1"/>
  <c r="E853" i="1"/>
  <c r="E1804" i="1"/>
  <c r="E641" i="1"/>
  <c r="E1796" i="1"/>
  <c r="E1666" i="1"/>
  <c r="E955" i="1"/>
  <c r="E1823" i="1"/>
  <c r="E1684" i="1"/>
  <c r="E882" i="1"/>
  <c r="E1692" i="1"/>
  <c r="E913" i="1"/>
  <c r="E393" i="1"/>
  <c r="E1584" i="1"/>
  <c r="E927" i="1"/>
  <c r="E1140" i="1"/>
  <c r="E1003" i="1"/>
  <c r="E473" i="1"/>
  <c r="E566" i="1"/>
  <c r="E184" i="1"/>
  <c r="E1353" i="1"/>
  <c r="E1696" i="1"/>
  <c r="E1911" i="1"/>
  <c r="E686" i="1"/>
  <c r="E771" i="1"/>
  <c r="E1815" i="1"/>
  <c r="E213" i="1"/>
  <c r="E1147" i="1"/>
  <c r="E1585" i="1"/>
  <c r="E318" i="1"/>
  <c r="E366" i="1"/>
  <c r="E297" i="1"/>
  <c r="E258" i="1"/>
  <c r="E342" i="1"/>
  <c r="E1157" i="1"/>
  <c r="E482" i="1"/>
  <c r="E680" i="1"/>
  <c r="E21" i="1"/>
  <c r="E518" i="1"/>
  <c r="E847" i="1"/>
  <c r="E712" i="1"/>
  <c r="E1587" i="1"/>
  <c r="E587" i="1"/>
  <c r="E1247" i="1"/>
  <c r="E343" i="1"/>
  <c r="E1639" i="1"/>
  <c r="E1206" i="1"/>
  <c r="E1433" i="1"/>
  <c r="E1487" i="1"/>
  <c r="E570" i="1"/>
  <c r="E135" i="1"/>
  <c r="E430" i="1"/>
  <c r="E1285" i="1"/>
  <c r="E1369" i="1"/>
  <c r="E1041" i="1"/>
  <c r="E618" i="1"/>
  <c r="E1036" i="1"/>
  <c r="E655" i="1"/>
  <c r="E1834" i="1"/>
  <c r="E476" i="1"/>
  <c r="E313" i="1"/>
  <c r="E322" i="1"/>
  <c r="E673" i="1"/>
  <c r="E1791" i="1"/>
  <c r="E1504" i="1"/>
  <c r="E1184" i="1"/>
  <c r="E586" i="1"/>
  <c r="E1478" i="1"/>
  <c r="E92" i="1"/>
  <c r="E576" i="1"/>
  <c r="E1396" i="1"/>
  <c r="E1763" i="1"/>
  <c r="E581" i="1"/>
  <c r="E1098" i="1"/>
  <c r="E1500" i="1"/>
  <c r="E1538" i="1"/>
  <c r="E434" i="1"/>
  <c r="E1212" i="1"/>
  <c r="E1622" i="1"/>
  <c r="E233" i="1"/>
  <c r="E320" i="1"/>
  <c r="E535" i="1"/>
  <c r="E1476" i="1"/>
  <c r="E428" i="1"/>
  <c r="E1918" i="1"/>
  <c r="E520" i="1"/>
  <c r="E141" i="1"/>
  <c r="E1890" i="1"/>
  <c r="E1450" i="1"/>
  <c r="E843" i="1"/>
  <c r="E1860" i="1"/>
  <c r="E792" i="1"/>
  <c r="E1723" i="1"/>
  <c r="E1531" i="1"/>
  <c r="E974" i="1"/>
  <c r="E355" i="1"/>
  <c r="E1250" i="1"/>
  <c r="E1493" i="1"/>
  <c r="E1357" i="1"/>
  <c r="E472" i="1"/>
  <c r="E1375" i="1"/>
  <c r="E239" i="1"/>
  <c r="E946" i="1"/>
  <c r="E139" i="1"/>
  <c r="E1064" i="1"/>
  <c r="E1024" i="1"/>
  <c r="E241" i="1"/>
  <c r="E1748" i="1"/>
  <c r="E232" i="1"/>
  <c r="E1612" i="1"/>
  <c r="E1492" i="1"/>
  <c r="E879" i="1"/>
  <c r="E1693" i="1"/>
  <c r="E696" i="1"/>
  <c r="E319" i="1"/>
  <c r="E1081" i="1"/>
  <c r="E1167" i="1"/>
  <c r="E363" i="1"/>
  <c r="E902" i="1"/>
  <c r="E977" i="1"/>
  <c r="E54" i="1"/>
  <c r="E909" i="1"/>
  <c r="E1370" i="1"/>
  <c r="E1344" i="1"/>
  <c r="E625" i="1"/>
  <c r="E263" i="1"/>
  <c r="E596" i="1"/>
  <c r="E93" i="1"/>
  <c r="E863" i="1"/>
  <c r="E1636" i="1"/>
  <c r="E1772" i="1"/>
  <c r="E969" i="1"/>
  <c r="E337" i="1"/>
  <c r="E170" i="1"/>
  <c r="E753" i="1"/>
  <c r="E231" i="1"/>
  <c r="E801" i="1"/>
  <c r="E311" i="1"/>
  <c r="E1635" i="1"/>
  <c r="E433" i="1"/>
  <c r="E160" i="1"/>
  <c r="E751" i="1"/>
  <c r="E1705" i="1"/>
  <c r="E899" i="1"/>
  <c r="E361" i="1"/>
  <c r="E1131" i="1"/>
  <c r="E82" i="1"/>
  <c r="E737" i="1"/>
  <c r="E255" i="1"/>
  <c r="E487" i="1"/>
  <c r="E1626" i="1"/>
  <c r="E64" i="1"/>
  <c r="E498" i="1"/>
  <c r="E47" i="1"/>
  <c r="E63" i="1"/>
  <c r="E1835" i="1"/>
  <c r="E528" i="1"/>
  <c r="E720" i="1"/>
  <c r="E1491" i="1"/>
  <c r="E719" i="1"/>
  <c r="E382" i="1"/>
  <c r="E494" i="1"/>
  <c r="E645" i="1"/>
  <c r="E851" i="1"/>
  <c r="E1319" i="1"/>
  <c r="E30" i="1"/>
  <c r="E1736" i="1"/>
  <c r="E348" i="1"/>
  <c r="E1680" i="1"/>
  <c r="E423" i="1"/>
  <c r="E1647" i="1"/>
  <c r="E1166" i="1"/>
  <c r="E995" i="1"/>
  <c r="E868" i="1"/>
  <c r="E418" i="1"/>
  <c r="E1135" i="1"/>
  <c r="E1552" i="1"/>
  <c r="E755" i="1"/>
  <c r="E1909" i="1"/>
  <c r="E18" i="1"/>
  <c r="E101" i="1"/>
  <c r="E907" i="1"/>
  <c r="E1828" i="1"/>
  <c r="E664" i="1"/>
  <c r="E1096" i="1"/>
  <c r="E973" i="1"/>
  <c r="E934" i="1"/>
  <c r="E571" i="1"/>
  <c r="E186" i="1"/>
  <c r="E384" i="1"/>
  <c r="E1359" i="1"/>
  <c r="E1439" i="1"/>
  <c r="E238" i="1"/>
  <c r="E138" i="1"/>
  <c r="E488" i="1"/>
  <c r="E119" i="1"/>
  <c r="E749" i="1"/>
  <c r="E558" i="1"/>
  <c r="E1300" i="1"/>
  <c r="E13" i="1"/>
  <c r="E1115" i="1"/>
  <c r="E918" i="1"/>
  <c r="E1469" i="1"/>
  <c r="E1143" i="1"/>
  <c r="E74" i="1"/>
  <c r="E947" i="1"/>
  <c r="E466" i="1"/>
  <c r="E1582" i="1"/>
  <c r="E1807" i="1"/>
  <c r="E1356" i="1"/>
  <c r="E1649" i="1"/>
  <c r="E966" i="1"/>
  <c r="E1332" i="1"/>
  <c r="E181" i="1"/>
  <c r="E1600" i="1"/>
  <c r="E1886" i="1"/>
  <c r="E827" i="1"/>
  <c r="E1269" i="1"/>
  <c r="E799" i="1"/>
  <c r="E1248" i="1"/>
  <c r="E750" i="1"/>
  <c r="E450" i="1"/>
  <c r="E1419" i="1"/>
  <c r="E1202" i="1"/>
  <c r="E16" i="1"/>
  <c r="E1550" i="1"/>
  <c r="E102" i="1"/>
  <c r="E374" i="1"/>
  <c r="E381" i="1"/>
  <c r="E684" i="1"/>
  <c r="E1384" i="1"/>
  <c r="E1702" i="1"/>
  <c r="E1398" i="1"/>
  <c r="E206" i="1"/>
  <c r="E50" i="1"/>
  <c r="E134" i="1"/>
  <c r="E100" i="1"/>
  <c r="E417" i="1"/>
  <c r="E1551" i="1"/>
  <c r="E1694" i="1"/>
  <c r="E945" i="1"/>
  <c r="E562" i="1"/>
  <c r="E240" i="1"/>
  <c r="E1783" i="1"/>
  <c r="E259" i="1"/>
  <c r="E1848" i="1"/>
  <c r="E1110" i="1"/>
  <c r="E1329" i="1"/>
  <c r="E1913" i="1"/>
  <c r="E325" i="1"/>
  <c r="E1323" i="1"/>
  <c r="E956" i="1"/>
  <c r="E1080" i="1"/>
  <c r="E1743" i="1"/>
  <c r="E545" i="1"/>
  <c r="E1640" i="1"/>
  <c r="E1767" i="1"/>
  <c r="E512" i="1"/>
  <c r="E303" i="1"/>
  <c r="E1822" i="1"/>
  <c r="E1624" i="1"/>
  <c r="E1402" i="1"/>
  <c r="E1067" i="1"/>
  <c r="E825" i="1"/>
  <c r="E1321" i="1"/>
  <c r="E628" i="1"/>
  <c r="E57" i="1"/>
  <c r="E1425" i="1"/>
  <c r="E120" i="1"/>
  <c r="E1421" i="1"/>
  <c r="E243" i="1"/>
  <c r="E924" i="1"/>
  <c r="E1510" i="1"/>
  <c r="E911" i="1"/>
  <c r="E1063" i="1"/>
  <c r="E778" i="1"/>
  <c r="E1168" i="1"/>
  <c r="E360" i="1"/>
  <c r="E1372" i="1"/>
  <c r="E1610" i="1"/>
  <c r="E1349" i="1"/>
  <c r="E1268" i="1"/>
  <c r="E1628" i="1"/>
  <c r="E85" i="1"/>
  <c r="E756" i="1"/>
  <c r="E821" i="1"/>
  <c r="E323" i="1"/>
  <c r="E1151" i="1"/>
  <c r="E836" i="1"/>
  <c r="E1116" i="1"/>
  <c r="E460" i="1"/>
  <c r="E1802" i="1"/>
  <c r="E1048" i="1"/>
  <c r="E1251" i="1"/>
  <c r="E1092" i="1"/>
  <c r="E1407" i="1"/>
  <c r="E1345" i="1"/>
  <c r="E1460" i="1"/>
  <c r="E1266" i="1"/>
  <c r="E1858" i="1"/>
  <c r="E1737" i="1"/>
  <c r="E1365" i="1"/>
  <c r="E1756" i="1"/>
  <c r="E629" i="1"/>
  <c r="E1078" i="1"/>
  <c r="E1270" i="1"/>
  <c r="E1856" i="1"/>
  <c r="E1824" i="1"/>
  <c r="E1887" i="1"/>
  <c r="E1294" i="1"/>
  <c r="E685" i="1"/>
  <c r="E726" i="1"/>
  <c r="E507" i="1"/>
  <c r="E19" i="1"/>
  <c r="E1320" i="1"/>
  <c r="E1035" i="1"/>
  <c r="E703" i="1"/>
  <c r="E245" i="1"/>
  <c r="E1792" i="1"/>
  <c r="E1799" i="1"/>
  <c r="E1618" i="1"/>
  <c r="E833" i="1"/>
  <c r="E886" i="1"/>
  <c r="E688" i="1"/>
  <c r="E544" i="1"/>
  <c r="E1654" i="1"/>
  <c r="E147" i="1"/>
  <c r="E1735" i="1"/>
  <c r="E1716" i="1"/>
  <c r="E1503" i="1"/>
  <c r="E137" i="1"/>
  <c r="E935" i="1"/>
  <c r="E1758" i="1"/>
  <c r="E1675" i="1"/>
  <c r="E1379" i="1"/>
  <c r="E1900" i="1"/>
  <c r="E556" i="1"/>
  <c r="E1060" i="1"/>
  <c r="E1404" i="1"/>
  <c r="E272" i="1"/>
  <c r="E875" i="1"/>
  <c r="E1631" i="1"/>
  <c r="E88" i="1"/>
  <c r="E776" i="1"/>
  <c r="E210" i="1"/>
  <c r="E462" i="1"/>
  <c r="E372" i="1"/>
  <c r="E1719" i="1"/>
  <c r="E305" i="1"/>
  <c r="E894" i="1"/>
  <c r="E1075" i="1"/>
  <c r="E1059" i="1"/>
  <c r="E594" i="1"/>
  <c r="E1090" i="1"/>
  <c r="E537" i="1"/>
  <c r="E163" i="1"/>
  <c r="E1097" i="1"/>
  <c r="E1213" i="1"/>
  <c r="E7" i="1"/>
  <c r="E533" i="1"/>
  <c r="E1023" i="1"/>
  <c r="E200" i="1"/>
  <c r="E718" i="1"/>
  <c r="E1288" i="1"/>
  <c r="E774" i="1"/>
  <c r="E48" i="1"/>
  <c r="E1686" i="1"/>
  <c r="E1859" i="1"/>
  <c r="E338" i="1"/>
  <c r="E254" i="1"/>
  <c r="E1230" i="1"/>
  <c r="E819" i="1"/>
  <c r="E842" i="1"/>
  <c r="E1027" i="1"/>
  <c r="E1026" i="1"/>
  <c r="E517" i="1"/>
  <c r="E321" i="1"/>
  <c r="E391" i="1"/>
  <c r="E201" i="1"/>
  <c r="E1056" i="1"/>
  <c r="E362" i="1"/>
  <c r="E99" i="1"/>
  <c r="E1432" i="1"/>
  <c r="E40" i="1"/>
  <c r="E1875" i="1"/>
  <c r="E1211" i="1"/>
  <c r="E1177" i="1"/>
  <c r="E601" i="1"/>
  <c r="E1806" i="1"/>
  <c r="E467" i="1"/>
  <c r="E1522" i="1"/>
  <c r="E98" i="1"/>
  <c r="E220" i="1"/>
  <c r="E1813" i="1"/>
  <c r="E387" i="1"/>
  <c r="E79" i="1"/>
  <c r="E1061" i="1"/>
  <c r="E1808" i="1"/>
  <c r="E375" i="1"/>
  <c r="E731" i="1"/>
  <c r="E1006" i="1"/>
  <c r="E1780" i="1"/>
  <c r="E1644" i="1"/>
  <c r="E324" i="1"/>
  <c r="E1881" i="1"/>
  <c r="E81" i="1"/>
  <c r="E1905" i="1"/>
  <c r="E1399" i="1"/>
  <c r="E1203" i="1"/>
  <c r="E1104" i="1"/>
  <c r="E1218" i="1"/>
  <c r="E1798" i="1"/>
  <c r="E354" i="1"/>
  <c r="E443" i="1"/>
  <c r="E300" i="1"/>
  <c r="E398" i="1"/>
  <c r="E161" i="1"/>
  <c r="E445" i="1"/>
  <c r="E304" i="1"/>
  <c r="E1183" i="1"/>
  <c r="E895" i="1"/>
  <c r="E606" i="1"/>
  <c r="E529" i="1"/>
  <c r="E344" i="1"/>
  <c r="E539" i="1"/>
  <c r="E414" i="1"/>
  <c r="E887" i="1"/>
  <c r="E1237" i="1"/>
  <c r="E929" i="1"/>
  <c r="E653" i="1"/>
  <c r="E933" i="1"/>
  <c r="E1163" i="1"/>
  <c r="E397" i="1"/>
  <c r="E605" i="1"/>
  <c r="E920" i="1"/>
  <c r="E908" i="1"/>
</calcChain>
</file>

<file path=xl/sharedStrings.xml><?xml version="1.0" encoding="utf-8"?>
<sst xmlns="http://schemas.openxmlformats.org/spreadsheetml/2006/main" count="7778" uniqueCount="2005">
  <si>
    <t>patient_id</t>
  </si>
  <si>
    <t>Company_ID</t>
  </si>
  <si>
    <t>age</t>
  </si>
  <si>
    <t>GENDER</t>
  </si>
  <si>
    <t>is_smoker</t>
  </si>
  <si>
    <t>industry_sector</t>
  </si>
  <si>
    <t>risk_multiplier</t>
  </si>
  <si>
    <t>final_loaded_premium_rm</t>
  </si>
  <si>
    <t>000d0ab4-8758-25f9-270d-4b9ac627bcc4</t>
  </si>
  <si>
    <t>COMP_0005</t>
  </si>
  <si>
    <t>M</t>
  </si>
  <si>
    <t>Mining and Quarrying</t>
  </si>
  <si>
    <t>004ee5fe-4dec-030f-dd84-6217f57f04de</t>
  </si>
  <si>
    <t>COMP_0048</t>
  </si>
  <si>
    <t>Agriculture, Forestry and Fishing</t>
  </si>
  <si>
    <t>00ec7649-20ca-53c9-39fd-7228cc2f3ec0</t>
  </si>
  <si>
    <t>COMP_0021</t>
  </si>
  <si>
    <t>F</t>
  </si>
  <si>
    <t>00fdbb6b-68a7-3ca9-c54e-e0349500cb06</t>
  </si>
  <si>
    <t>Utilities</t>
  </si>
  <si>
    <t>01026cb4-ae34-6a5a-df71-f1d2ad04c94a</t>
  </si>
  <si>
    <t>COMP_0006</t>
  </si>
  <si>
    <t>01087c54-8bd7-ef2d-7d65-f0b32790d7b3</t>
  </si>
  <si>
    <t>COMP_0029</t>
  </si>
  <si>
    <t>Construction</t>
  </si>
  <si>
    <t>0147d054-cb91-1da6-f812-4f6d1b227ffc</t>
  </si>
  <si>
    <t>COMP_0028</t>
  </si>
  <si>
    <t>Wholesale and Retail Trades</t>
  </si>
  <si>
    <t>015098ab-1906-17ec-fade-a875f487be4b</t>
  </si>
  <si>
    <t>COMP_0024</t>
  </si>
  <si>
    <t>0188dc70-4930-9314-f682-21f86b5ce4ff</t>
  </si>
  <si>
    <t>COMP_0017</t>
  </si>
  <si>
    <t>01b0f73a-5277-4365-c634-7c03f13dc383</t>
  </si>
  <si>
    <t>COMP_0013</t>
  </si>
  <si>
    <t>01fb5010-75fe-cab4-3b17-7ba2aef95445</t>
  </si>
  <si>
    <t>COMP_0043</t>
  </si>
  <si>
    <t>02485540-f135-06c7-27d7-dc3d00550e50</t>
  </si>
  <si>
    <t>COMP_0034</t>
  </si>
  <si>
    <t>024e9a8b-e939-8eee-77fe-80cb57c5234e</t>
  </si>
  <si>
    <t>COMP_0008</t>
  </si>
  <si>
    <t>02a258a9-91d4-ea70-c1b0-1bc39bbd3bcc</t>
  </si>
  <si>
    <t>COMP_0027</t>
  </si>
  <si>
    <t>02e43ac5-0579-91cc-a72c-5ad1201c65e9</t>
  </si>
  <si>
    <t>COMP_0038</t>
  </si>
  <si>
    <t>Transport, Storage and Communication</t>
  </si>
  <si>
    <t>02ea5dd0-ff4e-98f5-481f-930ed9cbf218</t>
  </si>
  <si>
    <t>COMP_0009</t>
  </si>
  <si>
    <t>030d03d7-7ba0-23ba-8113-0bfc3885dd5b</t>
  </si>
  <si>
    <t>Services</t>
  </si>
  <si>
    <t>0404e959-3437-6d3b-b2e0-1d6bb35429ee</t>
  </si>
  <si>
    <t>COMP_0001</t>
  </si>
  <si>
    <t>04194d1b-3bc8-8a92-04fa-469f1c1a9e32</t>
  </si>
  <si>
    <t>0424d7b4-c695-6e7c-8309-d7c0854d736b</t>
  </si>
  <si>
    <t>COMP_0050</t>
  </si>
  <si>
    <t>042bd23d-d6e8-2354-c0c0-1f0923f88f82</t>
  </si>
  <si>
    <t>04459890-6360-95bc-7ff4-fb5fdfe5fd96</t>
  </si>
  <si>
    <t>Hotels and Restaurants</t>
  </si>
  <si>
    <t>04a3c66f-2d27-3ac7-2f40-347db3d34c62</t>
  </si>
  <si>
    <t>04add404-a7ba-fa47-fa2d-9c8240451370</t>
  </si>
  <si>
    <t>04d1fa28-4768-019d-faa2-9df632552546</t>
  </si>
  <si>
    <t>COMP_0039</t>
  </si>
  <si>
    <t>Manufacturing</t>
  </si>
  <si>
    <t>04f65d82-6cea-61ee-139d-5913ba5437e5</t>
  </si>
  <si>
    <t>COMP_0007</t>
  </si>
  <si>
    <t>0508f16d-d8ba-0a49-ec21-20525f7ae843</t>
  </si>
  <si>
    <t>COMP_0044</t>
  </si>
  <si>
    <t>050999d6-cab6-3d85-e4a2-03f1c41b1cb3</t>
  </si>
  <si>
    <t>050c6cb7-cffe-cb9a-8ef4-3a10284fa9be</t>
  </si>
  <si>
    <t>051392c8-9e6b-1334-d238-d0d0c12c7eb9</t>
  </si>
  <si>
    <t>05322ab0-a284-1029-cfc5-6f2458e660f1</t>
  </si>
  <si>
    <t>056f536b-362b-34ce-def3-e65cd24a2eee</t>
  </si>
  <si>
    <t>059d3567-b453-c62b-a8d5-35adace7a200</t>
  </si>
  <si>
    <t>05abee42-76bc-cd3f-7c98-9a026c434e5d</t>
  </si>
  <si>
    <t>05e54e6c-d7d3-16b0-6351-a54f8cc74b2b</t>
  </si>
  <si>
    <t>0684c5d5-7a90-090a-73a6-d69f78db6ed8</t>
  </si>
  <si>
    <t>0685dcf4-3ad9-4fda-189d-f88e9be8fa14</t>
  </si>
  <si>
    <t>068b8b6a-8a95-3560-7c8b-46f8fb7eb386</t>
  </si>
  <si>
    <t>06b64c01-1380-54cb-ef68-0d8512a69127</t>
  </si>
  <si>
    <t>COMP_0011</t>
  </si>
  <si>
    <t>06c2bff3-c547-017e-2dd3-f465dc2135b1</t>
  </si>
  <si>
    <t>06d65967-891f-8191-e436-2c504da60316</t>
  </si>
  <si>
    <t>06e3541d-be96-211d-eadd-fc772a99e3ed</t>
  </si>
  <si>
    <t>COMP_0032</t>
  </si>
  <si>
    <t>070212fd-fbe8-7dc4-5398-d0558b6d6335</t>
  </si>
  <si>
    <t>07142252-30d8-8ba6-9bf5-502d275f2788</t>
  </si>
  <si>
    <t>COMP_0041</t>
  </si>
  <si>
    <t>0730cb0d-3845-4a12-46eb-fafa042b104c</t>
  </si>
  <si>
    <t>073175af-c053-9dad-e441-163c59501315</t>
  </si>
  <si>
    <t>COMP_0014</t>
  </si>
  <si>
    <t>073dbd8b-9a1b-06dc-d82b-69403950029c</t>
  </si>
  <si>
    <t>COMP_0035</t>
  </si>
  <si>
    <t>0741dda9-9ef6-c637-a587-8954747fccdc</t>
  </si>
  <si>
    <t>COMP_0004</t>
  </si>
  <si>
    <t>07861585-7979-ef14-ff8d-7cba54013f93</t>
  </si>
  <si>
    <t>07a520a4-9514-c342-e16d-dde047771ce0</t>
  </si>
  <si>
    <t>07ee307b-696b-5ec9-7d50-2fb1703334c2</t>
  </si>
  <si>
    <t>07f16bd9-fcb5-a0fb-055e-1efe0a3ae723</t>
  </si>
  <si>
    <t>0802cc11-04ba-36f9-8cc8-af782501de58</t>
  </si>
  <si>
    <t>080e1c6b-0c46-d18f-b62a-471ec25dd34f</t>
  </si>
  <si>
    <t>08b64ca0-7bdc-64fb-d550-28dd0f50f315</t>
  </si>
  <si>
    <t>08eefd28-d0cc-fb13-c8ce-00fb4a2b598e</t>
  </si>
  <si>
    <t>0909851c-9f7a-a3db-e65f-ea924cf6401a</t>
  </si>
  <si>
    <t>092afef6-62c2-f6bd-0132-76be76dd29dd</t>
  </si>
  <si>
    <t>092c4d7e-df82-046a-706f-979b977be149</t>
  </si>
  <si>
    <t>0933db9a-2f29-fcd3-bb1f-f8a2ad9c5fe7</t>
  </si>
  <si>
    <t>094b70d9-5c5d-a849-3d60-c2211b059530</t>
  </si>
  <si>
    <t>COMP_0015</t>
  </si>
  <si>
    <t>0958e195-3902-787f-238d-005dc1bc52ed</t>
  </si>
  <si>
    <t>095cf25f-ffc5-64ac-4cd2-d4934f4c6f49</t>
  </si>
  <si>
    <t>0963c699-b4e5-89f2-67e8-c9b0bd46b32a</t>
  </si>
  <si>
    <t>COMP_0010</t>
  </si>
  <si>
    <t>0973af60-884c-3764-a729-177c20fb7a7a</t>
  </si>
  <si>
    <t>0998af08-6481-a54d-3b0b-1c2433feae56</t>
  </si>
  <si>
    <t>COMP_0051</t>
  </si>
  <si>
    <t>09bed3fe-70a2-bdd3-3db5-727aa09932fc</t>
  </si>
  <si>
    <t>09c511c9-7135-45fb-ffdc-3a8af4aaa044</t>
  </si>
  <si>
    <t>09cf411a-2de6-7780-cb99-31a9cd0d6951</t>
  </si>
  <si>
    <t>0a1964d1-3628-9d85-31d2-3cc42e2596eb</t>
  </si>
  <si>
    <t>0a6e8c07-1bfd-0d14-d540-4dfd379fcc1b</t>
  </si>
  <si>
    <t>0a710c8b-e041-de13-1c68-aab723fe3280</t>
  </si>
  <si>
    <t>0a7febd1-583c-cd36-fe19-a000fb7fdedd</t>
  </si>
  <si>
    <t>0aa4bb51-95fb-9f7a-29c9-74ecc59880cb</t>
  </si>
  <si>
    <t>0aac4a73-884e-fbd2-ce9e-760f6d3620dd</t>
  </si>
  <si>
    <t>0ab8ebba-10c2-bd73-856a-745f7e66295a</t>
  </si>
  <si>
    <t>0ac5ac76-c921-377a-57cf-b5883df51732</t>
  </si>
  <si>
    <t>0ad8a5cd-1ed9-0bf1-6ebd-a8bf8b3e3f64</t>
  </si>
  <si>
    <t>0b07e00c-52ed-daa4-8e7f-15d609719b7a</t>
  </si>
  <si>
    <t>0b1226fa-1d5d-b3cd-6d31-a20c81c9cf66</t>
  </si>
  <si>
    <t>COMP_0022</t>
  </si>
  <si>
    <t>0b1a471a-8241-9386-0671-51a5f30e6a4d</t>
  </si>
  <si>
    <t>0b22c9f5-3918-eb83-f0d9-20d013d956fa</t>
  </si>
  <si>
    <t>0b3674dd-09db-e27a-8845-48e83b1f5bc5</t>
  </si>
  <si>
    <t>0b67433f-6e09-e77b-a9bb-11a1fc828369</t>
  </si>
  <si>
    <t>0b8dd929-c5be-4102-9f7a-15ab29ccd507</t>
  </si>
  <si>
    <t>0bc87abd-ca06-46a5-0596-06f44b69192e</t>
  </si>
  <si>
    <t>COMP_0025</t>
  </si>
  <si>
    <t>0bf3c543-a887-b90b-5cd7-8db15406a042</t>
  </si>
  <si>
    <t>0c3b2807-e1ea-e4ef-f73c-4350a3877882</t>
  </si>
  <si>
    <t>0c60e2dd-b01e-1270-988f-f4431b99eb13</t>
  </si>
  <si>
    <t>0c91ca41-8f6d-4856-e92b-692a2f8b862d</t>
  </si>
  <si>
    <t>0ca205ef-4507-cc8b-fed3-9c84bc622710</t>
  </si>
  <si>
    <t>0cc00117-6ef1-c195-b142-1dc9b2b9ee30</t>
  </si>
  <si>
    <t>0ccd6fc9-a7f1-3440-6664-87beda46c534</t>
  </si>
  <si>
    <t>0d0053a5-b769-2d2f-4e9c-bf02d4335814</t>
  </si>
  <si>
    <t>0d4d5b51-a069-faaf-f9b2-44d23a68a32a</t>
  </si>
  <si>
    <t>0d6e6eb5-946d-f457-8aa9-95958ea75816</t>
  </si>
  <si>
    <t>0de874f4-6d71-8672-bf7a-ffd2ea5a97e3</t>
  </si>
  <si>
    <t>0dfabafb-7309-48f1-58f5-3b617859c2d7</t>
  </si>
  <si>
    <t>0ea7d61b-dc62-42fd-a066-f9164d956c65</t>
  </si>
  <si>
    <t>0ebaf36a-ca51-72e4-7284-7a3d945f00d3</t>
  </si>
  <si>
    <t>0ebcd71c-b18c-52c8-cbf7-155d61640a43</t>
  </si>
  <si>
    <t>0ef2aa9f-5a72-6b70-cf28-d6928c5cf53b</t>
  </si>
  <si>
    <t>0f169510-1a24-9fa2-7924-4f8065810482</t>
  </si>
  <si>
    <t>0f1d8925-5cc5-2c8f-703c-e02ccf083a2a</t>
  </si>
  <si>
    <t>0f260e25-c479-0b3d-5c90-1fc4a803dae6</t>
  </si>
  <si>
    <t>0fbde7b2-e00e-660e-dc86-419b46f05935</t>
  </si>
  <si>
    <t>0fc005ff-88d7-2f96-7a11-1e6be901b658</t>
  </si>
  <si>
    <t>COMP_0023</t>
  </si>
  <si>
    <t>0fc619b4-d366-04e6-3146-c02e9257eff1</t>
  </si>
  <si>
    <t>0fca2f5e-388c-c18b-4168-a90ac47fcd05</t>
  </si>
  <si>
    <t>0fdce9cd-b98b-03c2-57a8-44ddcecc45ab</t>
  </si>
  <si>
    <t>10123421-be28-c026-aa3a-9e991a6236f3</t>
  </si>
  <si>
    <t>10868285-e014-6989-e4e8-e4a41b4ee63f</t>
  </si>
  <si>
    <t>108a012b-4f97-51f8-f8ac-f91b33f2a852</t>
  </si>
  <si>
    <t>108b4333-26cc-f6a3-7858-baa70227d2bd</t>
  </si>
  <si>
    <t>10933a19-1b1c-2b08-ebed-505a554c19f4</t>
  </si>
  <si>
    <t>COMP_0042</t>
  </si>
  <si>
    <t>10997b80-32d8-f42f-6437-f5caeaf67d1f</t>
  </si>
  <si>
    <t>10eaa465-cfc4-a7f7-e015-86bcec239194</t>
  </si>
  <si>
    <t>110b4dff-8f76-613c-7493-8b2129ca0820</t>
  </si>
  <si>
    <t>COMP_0003</t>
  </si>
  <si>
    <t>11147878-4f5e-faf6-0ebb-239d51e54e20</t>
  </si>
  <si>
    <t>11318885-d297-3081-a91e-efead5612fd6</t>
  </si>
  <si>
    <t>11eef23d-5d1f-3238-b7c9-4b39016bf2ab</t>
  </si>
  <si>
    <t>12417f8f-4881-dfa1-0886-a089c9685860</t>
  </si>
  <si>
    <t>COMP_0047</t>
  </si>
  <si>
    <t>1251ecf0-078e-0d63-b8ef-d8a6bc14ffdd</t>
  </si>
  <si>
    <t>127616cb-ab7b-448a-5cd1-6f51aa716acc</t>
  </si>
  <si>
    <t>COMP_0019</t>
  </si>
  <si>
    <t>12812438-3517-c95e-9f5a-278263bf4678</t>
  </si>
  <si>
    <t>12bdd414-a7bd-1c37-5d3f-6b7c7044d1ac</t>
  </si>
  <si>
    <t>12da051a-0bf8-fcc9-94fe-0318ef315c41</t>
  </si>
  <si>
    <t>12e7e99e-b876-78a4-08ab-bc9076f68276</t>
  </si>
  <si>
    <t>130c4ff4-d29b-153b-fe50-fec9a1f46d5e</t>
  </si>
  <si>
    <t>13104aa2-c93e-59b2-c0f9-9f99e51d15e6</t>
  </si>
  <si>
    <t>13ae8881-5783-3983-6a40-7358e255ca4e</t>
  </si>
  <si>
    <t>13f4b9ba-6019-256d-6da7-395d8a156d5d</t>
  </si>
  <si>
    <t>1426538e-7658-0bbd-96ee-267401f75b3d</t>
  </si>
  <si>
    <t>147b7684-5ceb-cb60-fa9e-6a847997f4b4</t>
  </si>
  <si>
    <t>14b28f38-4b58-0e0a-554e-30cb49698cde</t>
  </si>
  <si>
    <t>14bc2f8b-f599-f0cd-5c95-3551fa64f0ae</t>
  </si>
  <si>
    <t>14d3d862-6936-d0e7-25ba-1fc52fcd2527</t>
  </si>
  <si>
    <t>COMP_0018</t>
  </si>
  <si>
    <t>14d74875-02f3-9b40-b80c-998f1bf47b76</t>
  </si>
  <si>
    <t>14eeeaa3-59c0-b130-6b88-7814a2fee4b3</t>
  </si>
  <si>
    <t>14f32269-d3fd-8f29-b01d-6803aa62169f</t>
  </si>
  <si>
    <t>15365aed-718c-fdc1-3ef4-3ce255badf63</t>
  </si>
  <si>
    <t>15381b5c-c02d-151f-19dd-a5921d0233bf</t>
  </si>
  <si>
    <t>153becc0-6788-73f4-4160-8404763ff127</t>
  </si>
  <si>
    <t>15722134-36ca-78af-0c4c-b1fea76184b4</t>
  </si>
  <si>
    <t>15860358-d773-09fb-1f54-0829ce3d8cf9</t>
  </si>
  <si>
    <t>COMP_0040</t>
  </si>
  <si>
    <t>15a61fa4-9c7b-1373-2d2c-788b03eceeb1</t>
  </si>
  <si>
    <t>15ac9668-15a1-5669-e1fe-4abff2f1f3a4</t>
  </si>
  <si>
    <t>15c35c5c-7e78-f025-f711-6b1975943815</t>
  </si>
  <si>
    <t>15c856da-57b0-09a4-d1ee-c9bb3578c378</t>
  </si>
  <si>
    <t>15f2d868-c45f-4a9b-9370-b530786f489e</t>
  </si>
  <si>
    <t>1606dd48-7797-b389-e226-b733f315da27</t>
  </si>
  <si>
    <t>160e73a1-a57e-8e25-b315-c4f63e68b563</t>
  </si>
  <si>
    <t>166d9c4a-5aee-bc0f-c969-a012654aed35</t>
  </si>
  <si>
    <t>168317eb-0c68-5a1a-f6aa-fb500258f073</t>
  </si>
  <si>
    <t>16893834-808a-340f-facf-183c9d319bf0</t>
  </si>
  <si>
    <t>169bb8b9-83ed-5cc9-e743-eebfb59372bc</t>
  </si>
  <si>
    <t>16a7b728-ccd8-a26e-13e0-a40eaa5e05ce</t>
  </si>
  <si>
    <t>16abffe7-5df7-601a-c9d0-6d9d1ca47170</t>
  </si>
  <si>
    <t>178736ce-322f-db21-26f9-d5ce48a485af</t>
  </si>
  <si>
    <t>17939b26-61f1-21bc-2192-47991084bea7</t>
  </si>
  <si>
    <t>17a4f77e-e991-7ba9-581b-6a8d35e89bfd</t>
  </si>
  <si>
    <t>17cad707-7fba-b453-0222-f8c7780e1bca</t>
  </si>
  <si>
    <t>17f23c47-4fbc-c983-e3da-0eb43aad0d3d</t>
  </si>
  <si>
    <t>17fd9e6f-9484-fe63-a756-b82c962cae6a</t>
  </si>
  <si>
    <t>18840839-87a1-6de3-53be-a5b0d8f13a2d</t>
  </si>
  <si>
    <t>1891b9f1-295d-a90d-e22b-a3352c996051</t>
  </si>
  <si>
    <t>18a9c8d8-4c54-f4ce-6290-24a1f119e9ea</t>
  </si>
  <si>
    <t>18b8e812-60f4-0540-2b87-d642675eaf12</t>
  </si>
  <si>
    <t>18bd4654-196d-1c1f-6548-3abd8f400e30</t>
  </si>
  <si>
    <t>18ce4b2a-b3dd-5cfb-e428-c294deb578d1</t>
  </si>
  <si>
    <t>18cf29bd-9e75-462d-14da-c7e52939c77e</t>
  </si>
  <si>
    <t>18de6674-1161-683b-9858-e2d969bd3a70</t>
  </si>
  <si>
    <t>COMP_0049</t>
  </si>
  <si>
    <t>18f41401-2847-a1c7-4fbd-dd6e64eac815</t>
  </si>
  <si>
    <t>1928ef34-a56e-56ab-a380-64607b8c58d7</t>
  </si>
  <si>
    <t>1938aa47-0c56-9329-52a2-686cb2b1e5ba</t>
  </si>
  <si>
    <t>193c6dd8-60b4-8176-44f1-a0737841427c</t>
  </si>
  <si>
    <t>19697b63-6138-e265-6b13-5f348379267e</t>
  </si>
  <si>
    <t>197dd63f-3c27-444b-103d-37485b862eeb</t>
  </si>
  <si>
    <t>19c11d5a-195b-c377-8c2b-ac232c6f5fc6</t>
  </si>
  <si>
    <t>19cc6731-1da6-47bf-f122-f2d19e46e496</t>
  </si>
  <si>
    <t>19cccd78-6ffd-fcf7-d7c4-aee30323d576</t>
  </si>
  <si>
    <t>19dcd444-85c7-aaa4-69ec-e72e6525ef87</t>
  </si>
  <si>
    <t>19e056f2-87e4-026d-dece-e53cce50add6</t>
  </si>
  <si>
    <t>19e4a895-5c43-f6da-7a0d-8488731e7b01</t>
  </si>
  <si>
    <t>1a01473d-f19f-2bd8-afd3-1496dabf4dc8</t>
  </si>
  <si>
    <t>COMP_0012</t>
  </si>
  <si>
    <t>1a0cdc8a-a926-a612-91cf-bd42c457afc8</t>
  </si>
  <si>
    <t>COMP_0030</t>
  </si>
  <si>
    <t>1a39efbd-1c7b-a047-3c6d-85a159503b09</t>
  </si>
  <si>
    <t>1a4e7255-99f8-6e1b-5ddf-9f1da82d7d80</t>
  </si>
  <si>
    <t>1ab332c2-c5db-e2c0-d1a9-a32c0e83510f</t>
  </si>
  <si>
    <t>1ac92182-cc74-deb2-9f6a-96c0cb670002</t>
  </si>
  <si>
    <t>1ac9ce8a-d805-fd87-1e1b-621ef17e8e5f</t>
  </si>
  <si>
    <t>1afdc65e-3e71-e077-3262-747d306c2296</t>
  </si>
  <si>
    <t>1b0eb74c-a785-606d-cec0-d29ee8ead3f5</t>
  </si>
  <si>
    <t>1b3a4b2a-e3a7-eea4-1d40-a71f6879205a</t>
  </si>
  <si>
    <t>COMP_0016</t>
  </si>
  <si>
    <t>1b4bfcea-249b-13a0-11a9-2d3b102e8f67</t>
  </si>
  <si>
    <t>1b58a53b-77d7-1b2f-b780-c12e4a0c8293</t>
  </si>
  <si>
    <t>1b764e45-e18e-b2ff-a241-34f12d96005b</t>
  </si>
  <si>
    <t>1b9698ee-2f85-03fe-d1f9-4b53081529d7</t>
  </si>
  <si>
    <t>1b98eecf-c003-7656-4c64-0b71958a8fd5</t>
  </si>
  <si>
    <t>1bd3c81d-0e89-6043-b5f1-3f7f58795466</t>
  </si>
  <si>
    <t>1c084718-d9b0-b2a9-b2d0-3909a186624e</t>
  </si>
  <si>
    <t>1c331146-afee-3394-c777-c658fab3bfc0</t>
  </si>
  <si>
    <t>1c38712d-4a5a-ab7f-02fa-9804981ceb56</t>
  </si>
  <si>
    <t>1c5d7238-d7e9-96c6-f217-10cbcedcbce0</t>
  </si>
  <si>
    <t>COMP_0020</t>
  </si>
  <si>
    <t>1c624955-1558-ba55-1b0b-876830897e95</t>
  </si>
  <si>
    <t>1c94f066-a29e-dd90-9a02-aa1d263fa3d5</t>
  </si>
  <si>
    <t>1c98eef4-c40e-a9a8-08da-a460b2ce1b1c</t>
  </si>
  <si>
    <t>1cd1ae59-9541-7ac7-badc-fcf1cbce8a97</t>
  </si>
  <si>
    <t>1cea4cea-7c6b-ce1c-3b96-1d520f010755</t>
  </si>
  <si>
    <t>1d35b669-d433-4348-42e9-408614eb8cf7</t>
  </si>
  <si>
    <t>COMP_0033</t>
  </si>
  <si>
    <t>1d6545e1-c5d6-94d7-bb9e-1fc65cd205f9</t>
  </si>
  <si>
    <t>1d857124-76bd-7e2d-fe14-c1ca872a5b34</t>
  </si>
  <si>
    <t>1d85cdac-69d5-7f4d-46d3-e68034c2e753</t>
  </si>
  <si>
    <t>1d9aea96-a951-6016-e52a-924b2927c555</t>
  </si>
  <si>
    <t>1db062e4-93bb-2d26-bdf0-f53c25278d45</t>
  </si>
  <si>
    <t>1dbb1a75-dbec-fce5-eaa5-1c4079042236</t>
  </si>
  <si>
    <t>1dbdf00a-ccbb-795d-4fc1-2ba8e5d6907f</t>
  </si>
  <si>
    <t>1ddf1291-eb27-c8f3-7fa4-ab05dbcfae37</t>
  </si>
  <si>
    <t>1de3da89-5715-176f-d6a8-bcc5c46e2efb</t>
  </si>
  <si>
    <t>1df1361c-8783-f418-cbb1-063150f588bc</t>
  </si>
  <si>
    <t>1e0186d5-cccc-7ffa-1eb6-7618211c1ff2</t>
  </si>
  <si>
    <t>1e748d9c-9565-0695-233d-c7f97b067c50</t>
  </si>
  <si>
    <t>1e812bb8-7ed2-ad57-dad7-5f8075baf79e</t>
  </si>
  <si>
    <t>1e9d1549-21bc-656a-81f8-1e0d75880449</t>
  </si>
  <si>
    <t>1ead133f-f345-73a2-9669-5de75f0e1e58</t>
  </si>
  <si>
    <t>1ece2fb0-d255-e3ed-bd98-5ca22c7a81c4</t>
  </si>
  <si>
    <t>1ef84cf1-b850-71f5-7044-ac10161ad867</t>
  </si>
  <si>
    <t>1f0408f1-8f2e-a137-d22a-7c52b4f455bb</t>
  </si>
  <si>
    <t>1f40ce3f-9a3c-1005-772c-ffa7b8dd24d6</t>
  </si>
  <si>
    <t>1f510d8e-b9f5-adf3-3c2a-4c64489dedba</t>
  </si>
  <si>
    <t>1f701dce-8df8-8d60-5a47-a1dce1094a9d</t>
  </si>
  <si>
    <t>1f8debcc-6382-9dee-9440-e94f8a5a3d0a</t>
  </si>
  <si>
    <t>1f94cc5e-e74d-cd88-fa2d-8f000a80377e</t>
  </si>
  <si>
    <t>1f9714af-4933-ea70-c257-65369ef8d3c3</t>
  </si>
  <si>
    <t>1f9d9fcb-ce0b-8459-964b-a91a14c5a156</t>
  </si>
  <si>
    <t>1fca1659-99e9-05d2-9144-c25458ad84d6</t>
  </si>
  <si>
    <t>1fead699-a1a4-75ef-fad6-4d915d8b9310</t>
  </si>
  <si>
    <t>20690f21-869a-4495-17a1-a0a2175ec341</t>
  </si>
  <si>
    <t>20809919-b376-f14a-862f-fc0bd5d74fb8</t>
  </si>
  <si>
    <t>20e470ba-cc00-82ab-9004-cbb0412b9652</t>
  </si>
  <si>
    <t>20fbc928-4b23-af2a-d6f2-617a13e531a1</t>
  </si>
  <si>
    <t>21092b59-4e82-4d4b-e705-6f6025aeda70</t>
  </si>
  <si>
    <t>21435abe-c2ed-baef-8466-ba61b721adbf</t>
  </si>
  <si>
    <t>215303d5-9f6b-907e-c662-1ee68af420e7</t>
  </si>
  <si>
    <t>219c8dfb-6831-cd73-c79a-6b498d3c3bd0</t>
  </si>
  <si>
    <t>21ccff79-30e1-076b-82b9-81e80f0eeaaf</t>
  </si>
  <si>
    <t>21eddf68-6f6d-ec67-e48d-8fbddf8bbded</t>
  </si>
  <si>
    <t>220e03b8-dccf-2c08-dfa1-94f59c606546</t>
  </si>
  <si>
    <t>2237daa9-4849-d846-4df4-e3cd1931a36e</t>
  </si>
  <si>
    <t>226bbddf-9a84-fcc4-9010-7898ffc20471</t>
  </si>
  <si>
    <t>22798f2c-45b8-e229-94d1-9003a2ba574e</t>
  </si>
  <si>
    <t>2286b8c7-0c99-d9c1-da32-1cbec57ca3af</t>
  </si>
  <si>
    <t>229a5a31-b40f-0b16-8036-09b4a7740b5f</t>
  </si>
  <si>
    <t>22bb5c4f-e4a4-c059-31ef-1dd2b2330c1c</t>
  </si>
  <si>
    <t>22c1f4e2-47b6-e18f-32fd-ba5efee033f5</t>
  </si>
  <si>
    <t>22deb9a6-8c0a-9f58-effc-4e4ea6a7c613</t>
  </si>
  <si>
    <t>232bb91c-c84d-8caa-f309-412867eee911</t>
  </si>
  <si>
    <t>234a3cb7-ee41-277e-ed91-0ca0654a6c2c</t>
  </si>
  <si>
    <t>2353ff35-d921-e61f-fd23-ea4aa7c0a16c</t>
  </si>
  <si>
    <t>237b3366-63e7-0d30-1144-a7c92c443cbe</t>
  </si>
  <si>
    <t>238319b6-450b-11af-e6ab-e40774057d06</t>
  </si>
  <si>
    <t>23842f89-aea0-e293-f7da-729c146f740e</t>
  </si>
  <si>
    <t>239af229-87ea-5960-8910-684adbd2b23f</t>
  </si>
  <si>
    <t>23fa6d30-7251-8615-cc68-06b01016d2c3</t>
  </si>
  <si>
    <t>2440046c-5c29-7a5c-32d3-519533830355</t>
  </si>
  <si>
    <t>248ab0ca-0403-33b3-836f-cf8deb02a81f</t>
  </si>
  <si>
    <t>2495fde3-ec6e-569e-8b3f-e2d9a94941d4</t>
  </si>
  <si>
    <t>24d4964f-b997-94b3-c8d8-4d575e8b5668</t>
  </si>
  <si>
    <t>25140f27-590c-efd3-8a99-6c6e01bd453f</t>
  </si>
  <si>
    <t>252175ba-94a3-fba9-7c57-b31ba20e6e16</t>
  </si>
  <si>
    <t>253ff15b-7474-f7e2-af3a-7ecc31c8de8a</t>
  </si>
  <si>
    <t>255f90c4-95f6-60a1-d878-ffa1e26e941c</t>
  </si>
  <si>
    <t>258d5eb7-b3a2-a953-32cc-57cc5004fbd2</t>
  </si>
  <si>
    <t>25b26b93-64fe-cee0-26d7-c8ae0b9b9f27</t>
  </si>
  <si>
    <t>25f57cd1-c2d6-46ae-355b-cde8122a6662</t>
  </si>
  <si>
    <t>2603266b-cead-8110-58ff-bd8bbf33c5d5</t>
  </si>
  <si>
    <t>2608537e-9c4a-aac8-0807-4f08bc3f4615</t>
  </si>
  <si>
    <t>262e90cf-e418-a26b-67ca-62f939637b38</t>
  </si>
  <si>
    <t>26467d32-4cb0-ec38-2f3e-7d96b28e307d</t>
  </si>
  <si>
    <t>2652c605-d009-ccc0-f180-8d6310cfc444</t>
  </si>
  <si>
    <t>2663ba1a-2466-5e8b-5f8b-7f52b971f6fb</t>
  </si>
  <si>
    <t>267a5914-6d87-bbef-275a-b559ac2301d9</t>
  </si>
  <si>
    <t>267c5d52-3d39-8a42-399f-774325bd7fea</t>
  </si>
  <si>
    <t>26841241-4d12-ed5b-af4a-fdc7191c8a6e</t>
  </si>
  <si>
    <t>26bdac2c-a76f-31f0-0610-8a53a0286da6</t>
  </si>
  <si>
    <t>26e879a8-b255-c16f-471c-ba074798c174</t>
  </si>
  <si>
    <t>27039305-5b26-08b2-7283-df5c64271097</t>
  </si>
  <si>
    <t>271c55c8-9ca0-a49a-33c0-969723cfdeec</t>
  </si>
  <si>
    <t>27829e39-c910-9620-b684-fcf75d82a54a</t>
  </si>
  <si>
    <t>2816e975-1d72-5569-85f8-8df81ea5f596</t>
  </si>
  <si>
    <t>284739d1-cb19-1959-8060-7c626d92d0b2</t>
  </si>
  <si>
    <t>2880b17f-e6e3-f2e7-6a59-2505a8a333a5</t>
  </si>
  <si>
    <t>28a43834-2ee9-51bb-9410-eed6d7422728</t>
  </si>
  <si>
    <t>28f47a17-2292-bf4c-17c1-fa8d07d73db4</t>
  </si>
  <si>
    <t>28fb55dc-5918-6a86-0c94-340a106f7d98</t>
  </si>
  <si>
    <t>290c1bb0-68ab-9b8d-9079-ff09de5e0cd7</t>
  </si>
  <si>
    <t>293a551a-b1b5-e532-7009-8b62d365b171</t>
  </si>
  <si>
    <t>2955845e-558b-ab52-8c20-2244dc7bd533</t>
  </si>
  <si>
    <t>2966dba1-9c64-7eb5-8f6a-15c4003ff177</t>
  </si>
  <si>
    <t>29a0dc2d-7506-27fd-054e-4b18fdb90696</t>
  </si>
  <si>
    <t>29ec4966-d700-77d1-c6da-3c566f05a7b3</t>
  </si>
  <si>
    <t>29edbaa4-c0d4-9084-5a8e-0020a38d2e46</t>
  </si>
  <si>
    <t>2a0093a8-ea35-2cc4-5c98-bc7907dce933</t>
  </si>
  <si>
    <t>2a197d00-e677-509d-2273-dca35d2268d3</t>
  </si>
  <si>
    <t>2a6ea712-60ca-7261-2bc6-cae186fd4a2e</t>
  </si>
  <si>
    <t>2b061423-a86b-c3fc-69a8-4e177b9df7fe</t>
  </si>
  <si>
    <t>2b122089-aa80-4be3-e960-2b530c8f26c3</t>
  </si>
  <si>
    <t>2b3a8f32-4dbc-e9f7-47cc-9747aee8e292</t>
  </si>
  <si>
    <t>2b84f2a9-85f6-cbcd-98de-3eed670739f7</t>
  </si>
  <si>
    <t>2b933e4a-5a15-9316-4094-1a0aa04b47fe</t>
  </si>
  <si>
    <t>2bdcf348-ee7a-4286-e091-d06c254bb81f</t>
  </si>
  <si>
    <t>2bf6660f-b6fb-5f7e-75a9-a89f69a160f4</t>
  </si>
  <si>
    <t>2c4fd5c4-12d3-5a46-8a31-bd8cb129fc60</t>
  </si>
  <si>
    <t>2c5d93f0-b0ce-3038-bd3a-d8612f93674a</t>
  </si>
  <si>
    <t>2c638c67-b375-f1e7-eac2-d22af56e3d80</t>
  </si>
  <si>
    <t>2c70027c-59e7-e387-4498-585e7417d2fd</t>
  </si>
  <si>
    <t>2c86eeb0-9aba-a5a1-93b9-cca5db0b2a1b</t>
  </si>
  <si>
    <t>2c8b88e6-8a39-b276-7fd6-8f3bd9c468f5</t>
  </si>
  <si>
    <t>2ca4628c-2d61-b1df-5a4f-6aa3cbac1e21</t>
  </si>
  <si>
    <t>2cd7a161-7290-d318-edf5-eaa06c62c2b0</t>
  </si>
  <si>
    <t>COMP_0037</t>
  </si>
  <si>
    <t>2cdb3deb-42af-5098-8e76-6a06f7941517</t>
  </si>
  <si>
    <t>2cf2c26a-e10c-7072-b2af-5de80bdcdca0</t>
  </si>
  <si>
    <t>2d027e26-068f-161e-6a36-51c20d06e989</t>
  </si>
  <si>
    <t>2d124b5e-ba4d-77f2-8d2a-18802227b5e8</t>
  </si>
  <si>
    <t>2d130040-215a-7daa-f3ab-4117004375f0</t>
  </si>
  <si>
    <t>2d1df16e-f84d-6005-34e6-c947f1d152c2</t>
  </si>
  <si>
    <t>2d491bf4-859d-774b-4d10-653a4a0e60de</t>
  </si>
  <si>
    <t>2d65fd91-5c62-910e-74cf-42be2cec0dd0</t>
  </si>
  <si>
    <t>2dc43aa4-0847-3ddf-4af2-4ddd5c544238</t>
  </si>
  <si>
    <t>2dd9c853-e059-2fe6-a36e-4a171fd3bcd7</t>
  </si>
  <si>
    <t>2df2c41e-6b04-a726-5d84-387697b4c0cc</t>
  </si>
  <si>
    <t>2e02275d-dd63-c985-8830-4949d2b9c9f7</t>
  </si>
  <si>
    <t>2e190873-934e-8496-f060-95d2e7a8e54b</t>
  </si>
  <si>
    <t>2e366f9d-49cc-cc2d-ba7c-c14d4315d75e</t>
  </si>
  <si>
    <t>2e7988cf-d6b1-88c1-4593-5f30abbce350</t>
  </si>
  <si>
    <t>2e7ef6ad-50df-5aa4-32c9-df9b16b60f25</t>
  </si>
  <si>
    <t>2e976dc6-21bc-155b-f08a-7fbe209631cd</t>
  </si>
  <si>
    <t>2ea25720-8d13-aed5-d348-373357143115</t>
  </si>
  <si>
    <t>2eb133ef-e5de-60e4-fd92-a23e71b551d5</t>
  </si>
  <si>
    <t>2ebd462c-e711-5a45-32c3-6a7782dbb514</t>
  </si>
  <si>
    <t>2eee0d44-bdfd-623b-492f-bded0a017e93</t>
  </si>
  <si>
    <t>2ef540f4-8080-04d9-71e1-83cf92d40c4c</t>
  </si>
  <si>
    <t>2f4eb08f-ca2c-c504-fbc0-469936dc5666</t>
  </si>
  <si>
    <t>2f590d6d-a91c-dbdc-2978-45a4f229e7b6</t>
  </si>
  <si>
    <t>COMP_0036</t>
  </si>
  <si>
    <t>2f67fa07-da61-73d2-bb09-940e3203fc6f</t>
  </si>
  <si>
    <t>2f743706-107b-57bf-7c72-cdc7b2722b56</t>
  </si>
  <si>
    <t>2f766590-6d36-fc31-019c-f2e00222102c</t>
  </si>
  <si>
    <t>2f83e2de-c942-a1e7-91ea-2e53a3da828e</t>
  </si>
  <si>
    <t>2f873847-da45-a2ae-c821-6d7c3b21a8cf</t>
  </si>
  <si>
    <t>2f8a99d6-782a-6259-f41f-707bc9dc0cac</t>
  </si>
  <si>
    <t>2f8b215f-cc87-1c8c-d612-8f8de6a0e59c</t>
  </si>
  <si>
    <t>2fa10083-3b75-5c69-6258-05bc21eff452</t>
  </si>
  <si>
    <t>2fe2febb-f2ea-d242-b3f2-ea257b64b3c0</t>
  </si>
  <si>
    <t>2ffe677e-d755-18ab-df0d-7311025690cd</t>
  </si>
  <si>
    <t>3020d3c9-8467-0ea4-0ecc-8aea4d816fc5</t>
  </si>
  <si>
    <t>302f3bb9-5ea1-50da-b7a2-be98b39f3d3f</t>
  </si>
  <si>
    <t>3051d74b-4302-a576-1193-e55d1d6df0eb</t>
  </si>
  <si>
    <t>307d27ae-cdfd-2683-4ae0-121f492ae11a</t>
  </si>
  <si>
    <t>30d8363f-fd46-a3c4-6eee-aed47362eb0b</t>
  </si>
  <si>
    <t>3110ec8f-85ae-8191-5cd6-5f8afc46d535</t>
  </si>
  <si>
    <t>3119886e-17ae-383a-60b9-6fa5283f0f5e</t>
  </si>
  <si>
    <t>31444bab-fc42-f434-5f5d-39e756a51794</t>
  </si>
  <si>
    <t>315b6b16-ff68-c476-b38a-c8998685adcb</t>
  </si>
  <si>
    <t>315f5337-52b6-0600-fce8-220acfeb2d78</t>
  </si>
  <si>
    <t>316d6ee9-b0cb-1b98-1f37-b1bcb02a4379</t>
  </si>
  <si>
    <t>3182f6c6-21ea-ea71-7bd9-e77088910a01</t>
  </si>
  <si>
    <t>318869d5-b613-0a12-cfb6-f71de31f16ce</t>
  </si>
  <si>
    <t>31a55e19-9a37-f4df-f461-f01492a5bdf2</t>
  </si>
  <si>
    <t>31a7d0c4-b3f6-326a-c10c-44df91ff21d3</t>
  </si>
  <si>
    <t>31b40fd0-96a0-fc6c-8153-0a0a8f521dcc</t>
  </si>
  <si>
    <t>31e0752e-fb32-e53e-68d5-26e34bb50e3c</t>
  </si>
  <si>
    <t>32212a76-6d81-84bf-23e5-47a1de41500d</t>
  </si>
  <si>
    <t>328128c9-7b0c-0bde-d88b-fe20bc093239</t>
  </si>
  <si>
    <t>32d6b29b-1933-09ad-644b-b7ba9608308b</t>
  </si>
  <si>
    <t>32df7d06-0f7e-20c7-c7a7-e08579fa8d94</t>
  </si>
  <si>
    <t>33321a0a-1861-aafa-800f-18a165d52231</t>
  </si>
  <si>
    <t>333a5c92-26bc-a83a-3181-f3bb265f7bf0</t>
  </si>
  <si>
    <t>3346a9a5-6bd7-4d3d-b372-39c1c719aeff</t>
  </si>
  <si>
    <t>33aa0dfd-b182-0189-67c3-c3fe91d39466</t>
  </si>
  <si>
    <t>33c255f1-8501-7273-b85f-62f317ed2144</t>
  </si>
  <si>
    <t>33dac8c3-e5d2-f670-08c7-00db82a92c33</t>
  </si>
  <si>
    <t>34607c5e-c76c-d977-cde0-0e0546ab1c64</t>
  </si>
  <si>
    <t>34725eaa-e6a8-029c-117a-911bbf1415ce</t>
  </si>
  <si>
    <t>3493086e-8f4e-ff66-eea5-fc0b4a51c0aa</t>
  </si>
  <si>
    <t>349dd30e-0ec6-7b76-a4d6-f1030e594798</t>
  </si>
  <si>
    <t>34a6d423-ae37-012d-8678-18d0a18e65de</t>
  </si>
  <si>
    <t>34ae4133-c36e-b47d-fef3-982ed05a8601</t>
  </si>
  <si>
    <t>35440ebb-c87e-e044-f3e3-70a9bcced1cf</t>
  </si>
  <si>
    <t>3549716c-7288-dff4-de7b-cbbd12dd0956</t>
  </si>
  <si>
    <t>35b56e20-8cdd-d2cb-a16f-8f51462c1464</t>
  </si>
  <si>
    <t>35b7bb5b-8e1e-6650-586d-3b7e2ee775d6</t>
  </si>
  <si>
    <t>35ba6c5e-249f-caa5-0501-79921ac59a10</t>
  </si>
  <si>
    <t>35c956b2-f0f1-7127-a54f-4af83e00b0a8</t>
  </si>
  <si>
    <t>35cee495-19fe-a2f3-48cf-b2a4ff8e0eb2</t>
  </si>
  <si>
    <t>36190402-b027-11d7-3b96-03f49e6858e4</t>
  </si>
  <si>
    <t>361f7c4c-43c8-e24c-9c85-5bd16c78005a</t>
  </si>
  <si>
    <t>3621368d-7266-ce90-db9b-7b5cf78520fa</t>
  </si>
  <si>
    <t>362fa08c-e962-e084-5ea6-16ea3bc70ca7</t>
  </si>
  <si>
    <t>36870c43-5fca-80e6-b033-4ae92dc64bf5</t>
  </si>
  <si>
    <t>368ff475-36e8-e3d2-41f9-35012476411b</t>
  </si>
  <si>
    <t>369b196b-b61a-3df9-80c9-bb1ca0729beb</t>
  </si>
  <si>
    <t>COMP_0046</t>
  </si>
  <si>
    <t>3701be25-96e7-4c70-f750-f63c41f65cad</t>
  </si>
  <si>
    <t>371ceb39-35e5-9e3e-350a-52cf4468b29e</t>
  </si>
  <si>
    <t>37435539-843c-4fda-bd7b-3c05fc6f9dbf</t>
  </si>
  <si>
    <t>379aab67-4954-389e-c648-756bf63eb692</t>
  </si>
  <si>
    <t>37f809b5-c320-f35f-02be-ac08bd7aa21b</t>
  </si>
  <si>
    <t>COMP_0026</t>
  </si>
  <si>
    <t>37fadcef-9486-0b37-4029-ccb5924644e3</t>
  </si>
  <si>
    <t>3809a18b-b6e2-dedf-fc8e-7f744398599c</t>
  </si>
  <si>
    <t>38148d12-53b9-0d90-be52-dfd732be5e6a</t>
  </si>
  <si>
    <t>3856e6b1-2ce8-9ecc-8e41-6072288f19f8</t>
  </si>
  <si>
    <t>386abea5-426a-387b-2d93-574f0a3878f5</t>
  </si>
  <si>
    <t>38a58653-4d7d-1e6b-aab3-288dd31ff3a8</t>
  </si>
  <si>
    <t>38a89395-9d56-0160-0859-6d0d0ecdbf3b</t>
  </si>
  <si>
    <t>38b12afc-32ce-296c-46da-9852a10384f5</t>
  </si>
  <si>
    <t>38c6afc3-fc0b-85b7-bafb-9db0d965c0fe</t>
  </si>
  <si>
    <t>38e1256f-e2eb-b829-e3b0-532d229682c3</t>
  </si>
  <si>
    <t>38e466f0-da4f-2f42-0868-cfb5a4f4cafa</t>
  </si>
  <si>
    <t>390196a3-c306-7475-f809-9a12dccf0fbc</t>
  </si>
  <si>
    <t>390a8ccd-f3bc-5ccc-78de-7bd07189d931</t>
  </si>
  <si>
    <t>391b7dbe-260a-fbc3-1d92-8b5e7ce1b41b</t>
  </si>
  <si>
    <t>39752abc-dccb-3abf-47ea-55e896f794de</t>
  </si>
  <si>
    <t>39843e63-b678-9bd6-4717-42e638529d5e</t>
  </si>
  <si>
    <t>3998dc32-c117-38e7-6aea-7ae0f3382c18</t>
  </si>
  <si>
    <t>39c4afad-877c-c38d-a625-281a511f1640</t>
  </si>
  <si>
    <t>39cf97c1-b8a8-ac70-7b41-cac8c2512784</t>
  </si>
  <si>
    <t>39d49a31-b430-263a-6edc-8c894e0c7572</t>
  </si>
  <si>
    <t>39dce1fa-6eac-d797-64bd-429a4d460d77</t>
  </si>
  <si>
    <t>3a10b0e6-c1b4-3401-da60-61cf49065c7a</t>
  </si>
  <si>
    <t>3aa1ec5c-6e4e-058b-f3b7-8e9a8d22dc8b</t>
  </si>
  <si>
    <t>3aaf34c5-58bb-2c7f-a92d-9151d730b8cf</t>
  </si>
  <si>
    <t>3ac4a5db-34ee-dd29-7eb7-f666217ffb57</t>
  </si>
  <si>
    <t>3ac7c6b3-9e50-079f-87a2-ee59be81c28e</t>
  </si>
  <si>
    <t>3b110e3e-21f7-3bf4-3545-2b8f2e5ff3bc</t>
  </si>
  <si>
    <t>3b4195ef-a56a-a755-588e-d736a4d0c7d2</t>
  </si>
  <si>
    <t>3b49feda-99d0-f8e9-349b-c6623fb0920f</t>
  </si>
  <si>
    <t>COMP_0031</t>
  </si>
  <si>
    <t>3b4d1edc-f349-d200-2b33-8cb0e87ed0f2</t>
  </si>
  <si>
    <t>3b83a9d0-0a08-b0b0-8225-b9ca1c562883</t>
  </si>
  <si>
    <t>3b842957-cc2f-a8e5-ea92-0848638abed3</t>
  </si>
  <si>
    <t>3b90e293-57e4-1bd6-7768-249555637bab</t>
  </si>
  <si>
    <t>3b929019-2c62-4c96-7d0f-d7f6e7fe3105</t>
  </si>
  <si>
    <t>3bcd4983-3c4b-c914-d4a4-732465799ced</t>
  </si>
  <si>
    <t>3c19d392-c099-eb56-b9d2-f97334ef45f2</t>
  </si>
  <si>
    <t>3c497662-1a3e-174b-077f-b2ceaaa4aa81</t>
  </si>
  <si>
    <t>3c59c5db-74df-a43a-a8db-eccdfc754ea1</t>
  </si>
  <si>
    <t>3c7371d9-7e3b-bf19-e809-830204163d29</t>
  </si>
  <si>
    <t>3caf46a5-e854-2566-7315-c40cd6b93421</t>
  </si>
  <si>
    <t>3cdb4360-06e1-be65-f383-213615e5bdb7</t>
  </si>
  <si>
    <t>3cdfb9b9-95a7-8d0b-a679-255cbf2d08e5</t>
  </si>
  <si>
    <t>3d0f82db-b461-e843-e6e9-c1cee3f1b477</t>
  </si>
  <si>
    <t>3d948d18-1593-855a-0974-9d8242f0b9e9</t>
  </si>
  <si>
    <t>3da03aeb-927b-b770-ab4d-83c3d82b3b18</t>
  </si>
  <si>
    <t>3db27741-9ede-1cc8-53fd-5d5328902b62</t>
  </si>
  <si>
    <t>3dc959dd-1b10-ae31-a3fb-77ccbb3e5e17</t>
  </si>
  <si>
    <t>3dccd3e8-b337-3b62-cb02-87b39b1bd7dc</t>
  </si>
  <si>
    <t>3dd27fab-0fe1-7834-8675-a5e833fab99e</t>
  </si>
  <si>
    <t>3ddf78d1-cd5e-65e4-a1f3-5a6b29b717e5</t>
  </si>
  <si>
    <t>3de65e52-0c92-66e0-0b1f-f0b8115c9363</t>
  </si>
  <si>
    <t>3deed6ed-436d-c8a5-79af-e2c4b7aca15f</t>
  </si>
  <si>
    <t>3e654651-9458-20df-3967-a295211f1edd</t>
  </si>
  <si>
    <t>3e65566b-d43c-85df-c70d-9f2ede85abb6</t>
  </si>
  <si>
    <t>3e6f0748-a365-499d-147c-c63d6b7f6cb0</t>
  </si>
  <si>
    <t>3e81a5ee-44eb-824d-d436-47d77712eda6</t>
  </si>
  <si>
    <t>3e864ce9-3ce4-6a39-739f-e6b10d8ed1e9</t>
  </si>
  <si>
    <t>3e91cad9-ea10-2786-aa05-18c193ecdf3a</t>
  </si>
  <si>
    <t>3e9dc1fe-9c86-8b77-4b85-d359f0db4696</t>
  </si>
  <si>
    <t>3ea6efdf-e4ad-16c3-318f-ec0ce004fa1f</t>
  </si>
  <si>
    <t>3ebcca2a-3087-5220-5caa-1e7f949ff7d6</t>
  </si>
  <si>
    <t>3f030b7b-884d-b223-cdf4-19c6e9a4b453</t>
  </si>
  <si>
    <t>3f0513b6-6b7c-2c66-dc3f-ff31334d892a</t>
  </si>
  <si>
    <t>3f1c905c-aace-40a0-0c2e-cfcdca4840e3</t>
  </si>
  <si>
    <t>3f1f205b-06e4-19e8-7ffa-f0270267304f</t>
  </si>
  <si>
    <t>3f31356f-5ac7-2597-d12c-c2bcec5ff42e</t>
  </si>
  <si>
    <t>3f4a61be-f830-a2d8-4320-8e50d3b79177</t>
  </si>
  <si>
    <t>3f6617a2-2249-173b-7512-e082e0bd548b</t>
  </si>
  <si>
    <t>3f67c305-e3b5-32de-8e2b-d3ef83f5f40d</t>
  </si>
  <si>
    <t>3f8cd279-d778-ffaf-6471-e07a0895c699</t>
  </si>
  <si>
    <t>3f948478-d7ef-1a97-d7ea-129e329f87e1</t>
  </si>
  <si>
    <t>3f9e6679-e290-e5ca-8dcb-e5fa486d351f</t>
  </si>
  <si>
    <t>3fa2f7c1-23e1-b462-e274-6b9e0c200763</t>
  </si>
  <si>
    <t>3fd585b5-99a7-9aac-82ed-75369fe406ea</t>
  </si>
  <si>
    <t>3fdbebbe-ad33-0c4d-2141-645f6188dcf8</t>
  </si>
  <si>
    <t>3fe25919-dfab-6630-567f-7ccedd9a4d35</t>
  </si>
  <si>
    <t>3ff2feb8-35b9-75ac-2756-425afc05a788</t>
  </si>
  <si>
    <t>3ff87efd-9120-418f-0869-f62e7c6341e6</t>
  </si>
  <si>
    <t>4006b42d-46de-4c0f-7504-31fc12508b75</t>
  </si>
  <si>
    <t>405639cf-e354-c104-5b9c-940a448e911f</t>
  </si>
  <si>
    <t>4073f68d-d4cf-26c6-c9d5-61bcb24214ad</t>
  </si>
  <si>
    <t>408e76f0-8565-b500-cffc-81697fdbbacc</t>
  </si>
  <si>
    <t>40ce8ec1-a365-7f13-92f6-b4e934e0817f</t>
  </si>
  <si>
    <t>41033c5a-edb3-b4d3-36be-4826cd817bec</t>
  </si>
  <si>
    <t>410b40dc-cfae-5a24-3797-2132d9a7389c</t>
  </si>
  <si>
    <t>41ac2d0e-e2e6-956d-ea24-415c142fad52</t>
  </si>
  <si>
    <t>41e6671c-0d5e-e35a-e50c-ef9e595adf3a</t>
  </si>
  <si>
    <t>41f123d6-263b-a289-b0dc-f393afaa04f0</t>
  </si>
  <si>
    <t>41fdd119-f6e1-63f9-82f5-e5204e1bc961</t>
  </si>
  <si>
    <t>422370ba-41cf-e7bd-9cf2-7c77fd97568f</t>
  </si>
  <si>
    <t>4247ece9-9c34-b861-df07-8c25938f5456</t>
  </si>
  <si>
    <t>424f76e7-17ab-b342-f152-384afba2f008</t>
  </si>
  <si>
    <t>425961a9-c804-6efd-07a9-214681da3ad9</t>
  </si>
  <si>
    <t>425b4ece-37a5-1e19-9960-800a889b0449</t>
  </si>
  <si>
    <t>4268b2ee-1ed0-9fb8-3f79-f358f2cdb70b</t>
  </si>
  <si>
    <t>42714a4e-2c59-71f3-84fe-2a1165b84465</t>
  </si>
  <si>
    <t>428a76ba-f9c3-de50-5af3-93f7000a0cf6</t>
  </si>
  <si>
    <t>42994b25-3975-92a4-7e08-7ab0f8e2111d</t>
  </si>
  <si>
    <t>42ac8548-c397-508d-e289-9f76d417b426</t>
  </si>
  <si>
    <t>42c5728a-96f9-9b4b-844c-602f9e097bfe</t>
  </si>
  <si>
    <t>42db58d5-65bf-1782-b60b-41b788e4cdce</t>
  </si>
  <si>
    <t>42f45a3e-72d2-c8ba-5c93-895a680b4ee0</t>
  </si>
  <si>
    <t>432a74e8-151b-0fcf-6161-2766761b8d9a</t>
  </si>
  <si>
    <t>432b8d52-2986-44e6-afa7-75f96e427fc4</t>
  </si>
  <si>
    <t>433cf01a-f3cf-3ef8-3993-69745e784650</t>
  </si>
  <si>
    <t>434a2533-f1ba-1977-cb1c-66d35b52c67e</t>
  </si>
  <si>
    <t>43b8878d-65ce-4c8b-d8dc-e6f1fd2738b0</t>
  </si>
  <si>
    <t>43eaa02b-456a-00e3-54bd-671e40926918</t>
  </si>
  <si>
    <t>44517332-642a-500b-29f9-6d4e99c1f46e</t>
  </si>
  <si>
    <t>445d91bb-cb0f-7c38-a602-82fa18530270</t>
  </si>
  <si>
    <t>COMP_0002</t>
  </si>
  <si>
    <t>448f65ec-ab8a-9def-5795-e6ef1489bb4a</t>
  </si>
  <si>
    <t>44d8387b-e0dd-a2b6-5c15-70f6f1cc712a</t>
  </si>
  <si>
    <t>44ea2932-2f46-d110-c164-26394b6a93e4</t>
  </si>
  <si>
    <t>44ea32a2-0ddc-f8c7-b3db-5bd2e559f432</t>
  </si>
  <si>
    <t>44f4f867-ef9b-277c-8f53-bc407b964264</t>
  </si>
  <si>
    <t>450a4537-b3a5-20be-c15a-3adfdb780cb5</t>
  </si>
  <si>
    <t>453f211c-89a1-8ba8-ec01-1d25eb9743fc</t>
  </si>
  <si>
    <t>45605767-2128-d9d6-2a45-d5cdf864cb22</t>
  </si>
  <si>
    <t>4591f79d-8c11-1d51-09c5-4ab6a779ddc0</t>
  </si>
  <si>
    <t>462057d7-b956-8416-10ef-f36814a1477b</t>
  </si>
  <si>
    <t>4651e315-df57-e644-6601-e6a0af34cfc7</t>
  </si>
  <si>
    <t>465c4099-b1e6-4435-d646-c44a70703213</t>
  </si>
  <si>
    <t>4684dd3e-1ca3-6f00-9a0a-befd0602429c</t>
  </si>
  <si>
    <t>4696e789-36cd-204b-40ff-7cba434711a8</t>
  </si>
  <si>
    <t>469b4d6c-4f57-f39f-b972-cef93b9e2d76</t>
  </si>
  <si>
    <t>46ab8731-da56-ee2c-c183-9ed114b79e6b</t>
  </si>
  <si>
    <t>46ba0bf6-5bbb-63e3-7b61-ac5c8ba77336</t>
  </si>
  <si>
    <t>46f1606e-2eda-1724-d325-2145b6ede86a</t>
  </si>
  <si>
    <t>4709a1de-bf0a-0f45-92fc-5bb1f93ca545</t>
  </si>
  <si>
    <t>470db812-a86f-024f-41c4-979f3f11b9ed</t>
  </si>
  <si>
    <t>471ba6b8-c2ed-560e-2539-4c160c0b832e</t>
  </si>
  <si>
    <t>473d7114-de8e-9f4d-6235-ce52d8ea1e25</t>
  </si>
  <si>
    <t>4759b9ee-023b-4346-f16d-363362e58ec4</t>
  </si>
  <si>
    <t>47703366-c44e-169d-def9-2fe4eb053b55</t>
  </si>
  <si>
    <t>47794196-8aee-ac94-31be-d1a8f7e759b5</t>
  </si>
  <si>
    <t>47fb5312-815b-7efb-0d49-62bb750038d0</t>
  </si>
  <si>
    <t>4829e134-32c9-b877-99c6-fcd235d65f2e</t>
  </si>
  <si>
    <t>484e6e2e-2ac7-96e9-edd3-3b44002a0e7e</t>
  </si>
  <si>
    <t>4875cad9-594a-46a4-414a-6f1892580762</t>
  </si>
  <si>
    <t>487fdf66-883a-6c39-0f8c-918ab9c21bb7</t>
  </si>
  <si>
    <t>4884bac8-262c-9492-22d4-c6116dfd73f0</t>
  </si>
  <si>
    <t>488a43e1-fc18-a7fd-95f2-2a4147668768</t>
  </si>
  <si>
    <t>48c898eb-b40e-426e-299e-f4350392ad2e</t>
  </si>
  <si>
    <t>49174f79-5ec9-b1ff-5d38-b203060d801f</t>
  </si>
  <si>
    <t>493990e5-0962-3988-c2f6-382573c3f43d</t>
  </si>
  <si>
    <t>496e6fb2-f3d8-41c9-4a07-caf59fba850c</t>
  </si>
  <si>
    <t>4984a562-f15a-73de-fa9f-c2026917ec9e</t>
  </si>
  <si>
    <t>499e2869-c707-5fd9-55d1-673860700643</t>
  </si>
  <si>
    <t>499e50ef-e03c-2b13-9816-53c49617ba60</t>
  </si>
  <si>
    <t>49b5ff1e-d5bd-58fa-ac0c-ce06e0c5d86a</t>
  </si>
  <si>
    <t>49b91a4d-7cf3-fa74-7946-39f8b59f7623</t>
  </si>
  <si>
    <t>49d355e1-7ccb-5191-caa6-c58eebd23819</t>
  </si>
  <si>
    <t>49e4994d-23e3-15ef-d651-4504675ea43a</t>
  </si>
  <si>
    <t>49e4e133-b7ea-da5e-f33e-903b262b0825</t>
  </si>
  <si>
    <t>49edd034-f75e-f9e2-9ec8-e946e81b6de7</t>
  </si>
  <si>
    <t>49f1d353-3e7f-dea1-b51c-ea60bbd930d6</t>
  </si>
  <si>
    <t>4a59d824-f212-02c6-5da1-5257ccb3addf</t>
  </si>
  <si>
    <t>4a99c432-877e-5404-01e2-c31c0448dee4</t>
  </si>
  <si>
    <t>4a9f25c2-ec31-8c67-4f57-f5aa10fd8e9c</t>
  </si>
  <si>
    <t>4af1f538-c4d6-581a-3bbf-004ab0d8fbe9</t>
  </si>
  <si>
    <t>4b173630-5fa6-7d6b-a75f-0cee55fd206f</t>
  </si>
  <si>
    <t>4b43a168-9283-b21e-10c6-88e24cbd40f7</t>
  </si>
  <si>
    <t>4b4c9396-13e5-c3e1-229e-0ca592380dc4</t>
  </si>
  <si>
    <t>4b81876e-6eed-b884-7850-8b46a379123b</t>
  </si>
  <si>
    <t>4b875914-4381-8a10-84a4-4106e1eea752</t>
  </si>
  <si>
    <t>4be887eb-a2c3-e525-408d-80d8193bf94c</t>
  </si>
  <si>
    <t>4beac553-6a54-6d0b-ac97-8d58dc42e0c8</t>
  </si>
  <si>
    <t>4c1530ca-9285-42b0-be9d-9360796b6866</t>
  </si>
  <si>
    <t>4c204629-86c6-32c6-77df-238f3e072448</t>
  </si>
  <si>
    <t>4c5e4232-26d6-7aa6-c5f4-3495790860e7</t>
  </si>
  <si>
    <t>4c6c070e-38b2-eddf-83af-d52752dc8a53</t>
  </si>
  <si>
    <t>4cd0d48d-4c90-98a7-a891-e987be08a6eb</t>
  </si>
  <si>
    <t>4cf72c28-5cda-bbdd-9c61-03f4eaf4a0e9</t>
  </si>
  <si>
    <t>4d1477b2-57f3-4c3a-5e0b-89bd168ece61</t>
  </si>
  <si>
    <t>4d5da37b-91c9-0863-af32-eeb8cb32a4a0</t>
  </si>
  <si>
    <t>4d65e40a-eba4-2f5a-4b39-d2456777ec56</t>
  </si>
  <si>
    <t>4d6ec91c-cfe0-6bae-4d58-cce9980bab20</t>
  </si>
  <si>
    <t>4d7000d0-7615-b8a2-f820-7cda176d83ee</t>
  </si>
  <si>
    <t>4db02fe1-285a-3516-b518-e49ee04c799d</t>
  </si>
  <si>
    <t>4dda2654-82aa-56be-4265-61d64714793e</t>
  </si>
  <si>
    <t>4ddce1cd-984c-edaf-cfed-529e57541a82</t>
  </si>
  <si>
    <t>4e092b0c-d18f-5260-ff47-f2a6982ab91a</t>
  </si>
  <si>
    <t>4e321f3b-dc33-90ca-8dd3-57f1519e2398</t>
  </si>
  <si>
    <t>4e348f3d-1453-2d1f-de83-55eacd579ed5</t>
  </si>
  <si>
    <t>4e6004b7-dd6c-9202-6569-f16e05f0545b</t>
  </si>
  <si>
    <t>4e9d5e3e-4101-7398-872f-4be7933c95cb</t>
  </si>
  <si>
    <t>4efc5f00-6c65-3590-96d2-1f82bda869d9</t>
  </si>
  <si>
    <t>4f40f460-d290-5390-b78d-47f4548f68f7</t>
  </si>
  <si>
    <t>4f9def4f-ee5b-d6cd-f70c-c460e5cd5775</t>
  </si>
  <si>
    <t>4fa48cc1-bb7a-4624-2efa-e365527065ea</t>
  </si>
  <si>
    <t>4fad0e4d-ce00-ffaa-5ece-e74d9be7c78d</t>
  </si>
  <si>
    <t>4fbf6d50-9438-5372-48f9-18f05afa168a</t>
  </si>
  <si>
    <t>500ea6b9-096d-ea6c-2164-79cbf6847b8e</t>
  </si>
  <si>
    <t>503f5fb0-9837-8466-abea-2e85bf3833f1</t>
  </si>
  <si>
    <t>5052a181-8bb6-d990-040d-023f61668b7e</t>
  </si>
  <si>
    <t>50549064-55ec-1249-5903-6ef69ff9334e</t>
  </si>
  <si>
    <t>50cd28f1-d975-bb8b-f376-c0cdd5f074d8</t>
  </si>
  <si>
    <t>50d9822b-b551-2a3f-b270-ffee116b0129</t>
  </si>
  <si>
    <t>510bc2b9-8f45-41de-8418-f7a2c314dac5</t>
  </si>
  <si>
    <t>5111ee74-7c26-df70-1e83-421b483ad757</t>
  </si>
  <si>
    <t>512fdf00-8743-9b70-8429-2ed2f2220079</t>
  </si>
  <si>
    <t>5147825f-4c52-f425-513f-6bf238d3cede</t>
  </si>
  <si>
    <t>514ce87b-5782-9b32-a54f-80e10d2dd2ad</t>
  </si>
  <si>
    <t>51771454-8ca8-8670-b07e-07d425df3568</t>
  </si>
  <si>
    <t>51881827-a232-2ea9-aef2-831200f53e86</t>
  </si>
  <si>
    <t>519ff9b8-f4ed-d53d-5ae7-8687dc62474e</t>
  </si>
  <si>
    <t>51afa0d7-ec0f-bf63-dde3-f55ee6228ad2</t>
  </si>
  <si>
    <t>51b07445-2650-17dc-3c86-bcd52e684124</t>
  </si>
  <si>
    <t>51cea61f-0bdd-451b-7653-b9aa0db03f02</t>
  </si>
  <si>
    <t>51f7005f-5a59-f78c-35e6-919cf397304a</t>
  </si>
  <si>
    <t>5203f379-4517-e505-4992-ceabf16cd672</t>
  </si>
  <si>
    <t>522733b7-89fb-e0a0-2a80-2d31e1273fa9</t>
  </si>
  <si>
    <t>527e0b4d-c13f-a6e7-65ac-733091e593f2</t>
  </si>
  <si>
    <t>52d3648e-9aef-413d-51e3-6f0face0a006</t>
  </si>
  <si>
    <t>52d9f890-7aa2-4b6e-a054-0c09ded66a2c</t>
  </si>
  <si>
    <t>52f2bc27-910d-425e-60aa-a98497a33ca4</t>
  </si>
  <si>
    <t>53061f6d-8c08-1949-9ab3-162fd2f926e4</t>
  </si>
  <si>
    <t>53240518-4646-8554-a574-ce3a8e3a5f96</t>
  </si>
  <si>
    <t>534c8e68-4e7e-aee5-885a-935d37fcae91</t>
  </si>
  <si>
    <t>535af7a4-a72c-2a2c-e617-95a80d1b63f6</t>
  </si>
  <si>
    <t>5365a086-7d53-19cf-8ab0-5dd8edb13cc6</t>
  </si>
  <si>
    <t>53780c70-92bd-1a89-913a-d5a28576f4ed</t>
  </si>
  <si>
    <t>53850bf3-3bc3-1ed5-7cf7-947de24f0a66</t>
  </si>
  <si>
    <t>53885526-1b42-f4f1-91ee-fe43167c0173</t>
  </si>
  <si>
    <t>53891d75-39b9-e8c9-46e2-af62592000ef</t>
  </si>
  <si>
    <t>53a2ad3d-bffd-e074-1095-eb47e8c2c091</t>
  </si>
  <si>
    <t>5403dace-abb4-4357-b768-32dc6df9dac9</t>
  </si>
  <si>
    <t>544a75ea-0223-0601-0559-6f2b5f826ba4</t>
  </si>
  <si>
    <t>5468385e-8d0f-5b69-7b15-0aa0900ddaed</t>
  </si>
  <si>
    <t>5473f1f1-7966-d1e0-7186-45256e12e752</t>
  </si>
  <si>
    <t>547d12cd-edd5-4697-670e-734668ea1165</t>
  </si>
  <si>
    <t>5480c070-fc39-c643-a087-9fa92f3978e3</t>
  </si>
  <si>
    <t>5508f4ce-46a3-2251-fe90-085450788db8</t>
  </si>
  <si>
    <t>552f85dd-757d-3172-3308-f0080b88b65e</t>
  </si>
  <si>
    <t>5545d363-ef0b-0eee-d1ea-d7ef745708d8</t>
  </si>
  <si>
    <t>5561f97d-33fd-3f65-11be-4f7aa1d4a463</t>
  </si>
  <si>
    <t>55792c25-bbbe-4a7e-e475-fd238fa3e6ad</t>
  </si>
  <si>
    <t>5598cf88-5640-c070-93d0-ab6d2a9d4025</t>
  </si>
  <si>
    <t>55a6d452-3fc0-48b2-97b4-d1503f80fa4d</t>
  </si>
  <si>
    <t>560b7421-05f7-87bc-16d3-67e8f1a2d752</t>
  </si>
  <si>
    <t>5619c884-dafc-0d0c-1676-b954881bc596</t>
  </si>
  <si>
    <t>561b1011-6e5a-5228-34e5-65a0eecc566b</t>
  </si>
  <si>
    <t>562a0d59-ed02-8eaf-43d3-919098f08a12</t>
  </si>
  <si>
    <t>5673f24b-71e7-0bd3-50d6-4059787e4de5</t>
  </si>
  <si>
    <t>56da05d7-6084-4c73-1eb3-18d5513eccb3</t>
  </si>
  <si>
    <t>56e3dd35-9038-fdc3-d4e9-b5d7eb971509</t>
  </si>
  <si>
    <t>56ecbfc9-75f6-1ae3-0e8e-ec4cefb08650</t>
  </si>
  <si>
    <t>570e8312-c891-7b98-907e-cfeb42d50ddd</t>
  </si>
  <si>
    <t>5727f94b-8f70-9ff3-fa0e-af85ce397636</t>
  </si>
  <si>
    <t>573537a8-b335-7903-ed4c-3892edc55223</t>
  </si>
  <si>
    <t>5743076b-df9b-a0c9-8343-140f1b8a0efc</t>
  </si>
  <si>
    <t>5807df9b-43e2-f1f9-0eec-1f3bc434951d</t>
  </si>
  <si>
    <t>580e0aee-a7f3-3836-97ef-60e9185c298e</t>
  </si>
  <si>
    <t>58ab6b98-d959-75e9-ee59-b734348eb05f</t>
  </si>
  <si>
    <t>58d91d13-8e2d-2b73-6df9-c97f833de433</t>
  </si>
  <si>
    <t>590eb057-554b-e08e-5e14-eae31973241b</t>
  </si>
  <si>
    <t>5916599a-2d45-6a2d-92ad-2cb70d2b9d4a</t>
  </si>
  <si>
    <t>59272b57-24c4-da1a-e398-9999887d5ebf</t>
  </si>
  <si>
    <t>594952f8-04f5-48c3-c187-6ba2bc776cca</t>
  </si>
  <si>
    <t>59630d5a-ec9c-d4b4-7e32-767f7de9f224</t>
  </si>
  <si>
    <t>598431d0-e22b-3e3a-cd3f-5427f710e6f1</t>
  </si>
  <si>
    <t>59e41939-78cc-abaa-b5dc-31dc2cbe20cb</t>
  </si>
  <si>
    <t>59e9936d-311c-e751-b8ca-e7b6e82ddcf3</t>
  </si>
  <si>
    <t>59eae455-b964-8f08-e0c9-5a596fc356b9</t>
  </si>
  <si>
    <t>5a6b35e8-cadb-eb16-7d1b-8d0e788efe48</t>
  </si>
  <si>
    <t>5a70801b-5739-41d8-1841-75afed5dcba2</t>
  </si>
  <si>
    <t>5a9169e8-c028-a990-d34b-6ad5e3cec5cb</t>
  </si>
  <si>
    <t>5a9ae3ee-b3c1-5b6a-d3e3-635c80337ac1</t>
  </si>
  <si>
    <t>5aa19cc2-d31b-0f5c-1f2d-c8d5be5c5e86</t>
  </si>
  <si>
    <t>5aa3f9ec-6265-1c5a-9777-5ecfd92b7fa0</t>
  </si>
  <si>
    <t>5ac00586-bb10-24a4-493f-4ffd9336017f</t>
  </si>
  <si>
    <t>5ae9bd30-6857-1bb3-fc16-71472a805ab2</t>
  </si>
  <si>
    <t>5b0db282-d9fd-c536-f50a-b563705574cc</t>
  </si>
  <si>
    <t>5b2b4336-29ef-e6ab-c042-23da69efbd66</t>
  </si>
  <si>
    <t>5b3813d7-50e2-ee90-0f78-5b6607bd7138</t>
  </si>
  <si>
    <t>5ba3da50-dec1-5ebc-572b-6e49c203de84</t>
  </si>
  <si>
    <t>5bc612fa-ff24-63e3-3574-03e244b434d7</t>
  </si>
  <si>
    <t>5bc805a9-c9ee-d457-6d1f-5b34864166cd</t>
  </si>
  <si>
    <t>5c031bb1-b879-1e2a-5de6-26cc2f12ddd9</t>
  </si>
  <si>
    <t>5c0b5423-c488-2256-c694-8f950d784b84</t>
  </si>
  <si>
    <t>5c3cf8ac-b2ff-3f2d-b7d6-b78fb3eae033</t>
  </si>
  <si>
    <t>5c432e70-b348-60e7-4a7b-75d091e2d1e0</t>
  </si>
  <si>
    <t>5c456e79-9db1-7423-9c9b-dc3beb5586bb</t>
  </si>
  <si>
    <t>5c657ef6-07f3-f32b-6888-2b085a01516e</t>
  </si>
  <si>
    <t>5c9f506e-3046-c961-f5b5-18773237694f</t>
  </si>
  <si>
    <t>5cb60206-2c34-1e8b-a447-76ce24f211f5</t>
  </si>
  <si>
    <t>5cdb438f-c163-43a6-5ce4-80c72a48f77e</t>
  </si>
  <si>
    <t>5cf102a6-e237-f076-c834-7d314fb6efaf</t>
  </si>
  <si>
    <t>5d540428-2d85-ee31-dacf-a969443e6be8</t>
  </si>
  <si>
    <t>5d5a1bf9-46f5-2180-232e-937a4e892d1a</t>
  </si>
  <si>
    <t>5d90b2ad-bca1-b7dd-432a-8c4c38f18b8e</t>
  </si>
  <si>
    <t>5d944a45-a2c3-c415-c542-5380a3076529</t>
  </si>
  <si>
    <t>5da8d8d3-c7fc-bfc6-e168-4ca1b08ca446</t>
  </si>
  <si>
    <t>5db4740a-8649-47a8-7b0b-27a6f470901e</t>
  </si>
  <si>
    <t>5dd181b7-18f9-64cf-ce90-0f8f5ef8f194</t>
  </si>
  <si>
    <t>5e120092-da81-2733-eea9-be81a2e76c91</t>
  </si>
  <si>
    <t>5e33fcc7-b724-1986-0f09-28872e207cb2</t>
  </si>
  <si>
    <t>5e3d747a-10de-4d73-1477-4bae5d9b2b2d</t>
  </si>
  <si>
    <t>5e45df00-12ba-26bd-f3bf-cc60b6d9d0a6</t>
  </si>
  <si>
    <t>5e5f1aaf-59d1-2d08-0f08-9b5e65e43810</t>
  </si>
  <si>
    <t>5ec73596-52b1-51a0-0a01-c29032ba9a01</t>
  </si>
  <si>
    <t>5edb71a1-343e-4284-0563-3ee7454ead29</t>
  </si>
  <si>
    <t>5edbc1c8-233a-cd26-b67e-4d7260810376</t>
  </si>
  <si>
    <t>5ef4b555-9b05-3744-a651-f7d1a8dd9e8d</t>
  </si>
  <si>
    <t>5ef6fc9b-d41b-04bd-e93b-a82cbe90291e</t>
  </si>
  <si>
    <t>5f242b8a-4fd3-ceb1-7587-8aa4ca1eb84c</t>
  </si>
  <si>
    <t>5f390c41-57ce-c34e-4f44-cc2961454f40</t>
  </si>
  <si>
    <t>5f5bb1ba-6d10-caf6-71e1-4e94771d8b4d</t>
  </si>
  <si>
    <t>5f75743f-3ba2-35ef-cb95-0324eb202e42</t>
  </si>
  <si>
    <t>5fb69925-a84d-cd95-93de-02b6bc6910b5</t>
  </si>
  <si>
    <t>5fb6a834-ff3c-1252-ba01-d2840a37ff1c</t>
  </si>
  <si>
    <t>5fd8874a-a540-6472-cbe8-91256b999e68</t>
  </si>
  <si>
    <t>6017039f-9ed1-c101-0d6e-ff5cd957c53f</t>
  </si>
  <si>
    <t>60330c7f-a8fa-8d30-31fa-3744f6422fc0</t>
  </si>
  <si>
    <t>60373fb7-0fcb-b706-fa23-81e0ba96bbf8</t>
  </si>
  <si>
    <t>607653db-feb0-62e8-1039-24c16be4fc5c</t>
  </si>
  <si>
    <t>615bef2f-fbdc-fc0f-85cc-86c2281af2f7</t>
  </si>
  <si>
    <t>61736352-e631-3b58-61a0-e0caa8edabad</t>
  </si>
  <si>
    <t>617c92e4-e376-de03-c0ac-21dc4b160a50</t>
  </si>
  <si>
    <t>61878f92-eb47-b0c1-7514-6b7f019c9bba</t>
  </si>
  <si>
    <t>619b699e-8a53-e346-7359-fa45ec84800d</t>
  </si>
  <si>
    <t>61c3cb10-49d1-206b-2d54-51ed19504eea</t>
  </si>
  <si>
    <t>61d56bdd-c4ed-5ebd-9650-11f50ddbd7e0</t>
  </si>
  <si>
    <t>62265536-1b5c-0b56-a657-cf9479e4ee68</t>
  </si>
  <si>
    <t>623e9be7-b91d-1e8b-82ad-ae1b6d22cbbe</t>
  </si>
  <si>
    <t>624126da-00e1-5774-67c5-bf6f180c5fde</t>
  </si>
  <si>
    <t>62439d08-042b-7d8c-e1dd-ac80a217e9f6</t>
  </si>
  <si>
    <t>6247f059-8985-5301-ebf5-36fd36217826</t>
  </si>
  <si>
    <t>6279d0ef-0dac-fc81-30bb-9bad4d1f92a7</t>
  </si>
  <si>
    <t>62b2a7f8-60f9-87f7-c97e-5837ecb154f7</t>
  </si>
  <si>
    <t>62c73328-befc-1fd0-5d68-a694dd10b164</t>
  </si>
  <si>
    <t>62d96323-586e-a9f9-a3ac-c622fc92f1dc</t>
  </si>
  <si>
    <t>6308aea7-3c5e-e11a-d832-4a5c4e453e0e</t>
  </si>
  <si>
    <t>631da968-7fa9-6ff2-8ec1-4cc13708cacb</t>
  </si>
  <si>
    <t>632ac85e-0b14-f784-1e3f-9ca18967efe3</t>
  </si>
  <si>
    <t>6338762f-1578-0196-ff0a-923733af24c7</t>
  </si>
  <si>
    <t>6374d39c-5a84-6605-b56d-81b54b19a0f7</t>
  </si>
  <si>
    <t>63965dd2-8190-6370-1df7-7015dba57337</t>
  </si>
  <si>
    <t>63cf5021-e22b-b147-0e81-7cbbbb65640c</t>
  </si>
  <si>
    <t>63e190dd-dcea-5316-0ee3-def092ebfb87</t>
  </si>
  <si>
    <t>63e1ec32-f5e2-9eb8-222b-1e4ce2bf906d</t>
  </si>
  <si>
    <t>63e22956-52e9-9491-4677-52d01f7a0b7a</t>
  </si>
  <si>
    <t>63e9db7a-5109-8e9d-152b-c7c68887ee8e</t>
  </si>
  <si>
    <t>640d58c2-1e0b-d232-be6a-d18016b38d79</t>
  </si>
  <si>
    <t>64102696-ddc1-339a-9a5e-c12ee3e13989</t>
  </si>
  <si>
    <t>641db7d7-f8a0-4b33-50ac-080dbd21a7fc</t>
  </si>
  <si>
    <t>641e7e6f-e1d6-0fca-b8b1-c540c3492689</t>
  </si>
  <si>
    <t>6445b197-6840-13a3-5617-908cb973ddc5</t>
  </si>
  <si>
    <t>645cf7cf-0f31-ccf2-a28a-6d9fd6bd82a1</t>
  </si>
  <si>
    <t>64624bc7-5471-bad6-349a-b451e9551e41</t>
  </si>
  <si>
    <t>6467b211-c913-9b7f-5fa2-4a725a5f0358</t>
  </si>
  <si>
    <t>6491f453-c3a0-6f98-d55d-bd26b6511b38</t>
  </si>
  <si>
    <t>64c5a155-cc39-1426-9155-2248a8f2621b</t>
  </si>
  <si>
    <t>64e84b91-d85f-5e1f-375a-3f35e0b82115</t>
  </si>
  <si>
    <t>65b18d9b-6ebc-fbe5-c9db-08233e4c96f6</t>
  </si>
  <si>
    <t>65fc6e68-2654-2669-bd91-adac8acd2222</t>
  </si>
  <si>
    <t>667dcaef-43f7-f180-d836-c0ca4ff2b35a</t>
  </si>
  <si>
    <t>66aa883d-8ab9-8da7-5fa0-65dd3778da00</t>
  </si>
  <si>
    <t>66b12b4e-01ac-d349-6318-0c3c8b54f03a</t>
  </si>
  <si>
    <t>674240d9-1e5d-58fa-50a6-46e687378fca</t>
  </si>
  <si>
    <t>675650e4-1ae2-323f-82c1-bf0644fa7f2c</t>
  </si>
  <si>
    <t>67698530-43fb-f995-9696-629902e2a389</t>
  </si>
  <si>
    <t>67ae62a5-340f-83b2-91ec-e4856f6052f6</t>
  </si>
  <si>
    <t>67b35185-fa4a-db33-4b7a-412a812f9c20</t>
  </si>
  <si>
    <t>67b902e8-91c1-de99-65ce-f461f39a4530</t>
  </si>
  <si>
    <t>68276701-870a-b318-f341-939ca3102e00</t>
  </si>
  <si>
    <t>684a76bd-7af6-99a6-fc5c-977cf7f0d732</t>
  </si>
  <si>
    <t>68ab60fe-a95d-a928-8967-b2b7b95df253</t>
  </si>
  <si>
    <t>68b788af-769e-847a-6141-3c5189d53482</t>
  </si>
  <si>
    <t>68b9cedf-a548-e08d-7276-90b8eef8fade</t>
  </si>
  <si>
    <t>68c94a26-76eb-660a-a863-67c6b1a76a2e</t>
  </si>
  <si>
    <t>68daba51-c453-be28-3a28-295710da8752</t>
  </si>
  <si>
    <t>68df498f-0285-dd81-f34b-2dda8769f657</t>
  </si>
  <si>
    <t>68e4f9a6-1726-b211-a7de-af97af6b2961</t>
  </si>
  <si>
    <t>68e9995e-8db2-8793-3049-e3a2c9e42e21</t>
  </si>
  <si>
    <t>69030be5-78b7-fe33-1171-9b99fa8349ae</t>
  </si>
  <si>
    <t>6907464a-274d-0904-d6da-895971b93b5e</t>
  </si>
  <si>
    <t>691be45e-2ace-eeb1-3110-d938fc36fbb9</t>
  </si>
  <si>
    <t>691d09e1-cabe-4307-f2a5-ca82b6d5f34a</t>
  </si>
  <si>
    <t>6927b3a1-cdd1-4ccf-1650-7cd5066216c4</t>
  </si>
  <si>
    <t>693953bc-d773-c27f-fcb9-079edab78297</t>
  </si>
  <si>
    <t>694f1ef0-3713-d089-6bba-db034ac69235</t>
  </si>
  <si>
    <t>6952d034-7cde-9a1f-3beb-cbe57fd4c399</t>
  </si>
  <si>
    <t>6981b280-65f3-c76d-c1f9-81cd8278dda8</t>
  </si>
  <si>
    <t>6985fb67-4179-fde7-313b-35f0dd1571fd</t>
  </si>
  <si>
    <t>69e92016-4a12-49a4-31b7-c0efef44696d</t>
  </si>
  <si>
    <t>69ebddb1-27ce-9b04-2588-dcdd06d5a65a</t>
  </si>
  <si>
    <t>69ed57a9-f5d2-264e-a87c-278b2ffc7caa</t>
  </si>
  <si>
    <t>6a4e2dd3-6207-ef3e-2a68-b0d99b70dc9b</t>
  </si>
  <si>
    <t>6a614751-c784-ac82-d95c-33503065d003</t>
  </si>
  <si>
    <t>6a6cf3b5-2f04-4ae5-9f56-966479be615a</t>
  </si>
  <si>
    <t>6a783cf9-3855-884e-787a-59d98daa1c85</t>
  </si>
  <si>
    <t>6a921364-1c35-5966-acd3-ede8b7f6f331</t>
  </si>
  <si>
    <t>6ade19a2-db07-01d2-2baa-ebcb3847d21d</t>
  </si>
  <si>
    <t>6b0d0c15-3fe9-871f-67da-5d08c4d53c07</t>
  </si>
  <si>
    <t>6b0e35db-1446-c410-799e-0af3ef0d73d0</t>
  </si>
  <si>
    <t>6b18a5ba-2b62-1d9f-bc2f-2838adedc3e5</t>
  </si>
  <si>
    <t>6b2c6e3a-c49c-5f89-cd4a-e40630a1ba5f</t>
  </si>
  <si>
    <t>6b4526d8-2232-6c70-37da-197fa0524f0a</t>
  </si>
  <si>
    <t>6b62d47c-4b6c-455e-bbde-08888f788743</t>
  </si>
  <si>
    <t>6b9247da-b2d2-4691-23f0-0f6035007bcc</t>
  </si>
  <si>
    <t>6bbcb6b6-86cd-794b-7c15-8682d811d9f1</t>
  </si>
  <si>
    <t>6bddafae-3cbc-124d-dec6-ada4373408bb</t>
  </si>
  <si>
    <t>6beac7dd-5fc7-1bb7-ae42-a993da33393f</t>
  </si>
  <si>
    <t>6c436e78-515d-9755-ba58-70adb54d3b16</t>
  </si>
  <si>
    <t>6c509f91-140f-48c9-ffb0-8d7de515713c</t>
  </si>
  <si>
    <t>6c8a7e35-e9e5-b41d-3e9b-614d69142e26</t>
  </si>
  <si>
    <t>6c8a94dc-a9ea-fce2-c652-f24a886d5eea</t>
  </si>
  <si>
    <t>6ca2e12e-5048-3973-8f57-e5d17b332b49</t>
  </si>
  <si>
    <t>6ca5bf7d-697d-aa62-f0d5-1ccc50a0a5c6</t>
  </si>
  <si>
    <t>6cb7e02b-723e-341c-6643-3decdc2ca9f0</t>
  </si>
  <si>
    <t>6cb9c207-6ae1-4bef-10b6-f51ef7c981ea</t>
  </si>
  <si>
    <t>6cd8876f-0ebc-3d77-d431-39f0d8f8b911</t>
  </si>
  <si>
    <t>6cf1491f-8fa5-c0c3-1c8f-f5358d630e60</t>
  </si>
  <si>
    <t>6cfb4c48-461c-0b7b-2700-f62043e63d72</t>
  </si>
  <si>
    <t>6d08fb5f-0e84-1ef3-3fdb-3ba73627aa8a</t>
  </si>
  <si>
    <t>6d1191e6-56b5-2cb7-545f-d056ff01a793</t>
  </si>
  <si>
    <t>6d31f233-130d-158a-eb41-72a45f206ad6</t>
  </si>
  <si>
    <t>6db9a254-4f8e-0c5b-7950-6cbe9c53c7ed</t>
  </si>
  <si>
    <t>6e2ee7ad-d0bc-a7ca-3221-4966b84a611f</t>
  </si>
  <si>
    <t>6e4d203b-60b3-4de0-52e0-51bcdce0146d</t>
  </si>
  <si>
    <t>6e625399-4f01-104d-d32b-dc5121bda768</t>
  </si>
  <si>
    <t>6e635380-6ed3-d46e-c426-a1c396313745</t>
  </si>
  <si>
    <t>6e69521e-f080-3468-ef05-a01b0f86e073</t>
  </si>
  <si>
    <t>6e6fc2ec-f50d-5d2c-1bff-fb71060b8674</t>
  </si>
  <si>
    <t>6ec7cf04-7e0d-8f8c-f674-7865c56adc46</t>
  </si>
  <si>
    <t>6ee62b9a-054c-b6f8-5bff-dd97d5590da3</t>
  </si>
  <si>
    <t>6ef7d83e-2355-f6bc-e586-a39d9af6ddb0</t>
  </si>
  <si>
    <t>6f11053e-a0a7-4120-da03-c1cdd0e19f24</t>
  </si>
  <si>
    <t>6f1f903d-7d2a-85da-3721-33785071ebe8</t>
  </si>
  <si>
    <t>6f25bd16-e802-a118-c639-0c6bbe2be125</t>
  </si>
  <si>
    <t>6f450287-fcf8-7a10-4214-1ba993526252</t>
  </si>
  <si>
    <t>6f489cce-8385-c973-f69c-e2e0293abfdd</t>
  </si>
  <si>
    <t>6f50bc73-1cfb-9e32-8a7e-6b1d9d98def6</t>
  </si>
  <si>
    <t>6f594561-f40a-0cef-502e-486dfedf1b0f</t>
  </si>
  <si>
    <t>6fa7c488-66fc-6e30-9d56-69bea89b6030</t>
  </si>
  <si>
    <t>6fcfd58c-ec58-3626-2174-a6fd13172023</t>
  </si>
  <si>
    <t>6fdd0315-ddd3-8b34-5c23-9e8c568b1557</t>
  </si>
  <si>
    <t>6fde60c9-79c5-904d-57d2-ee1362360fcc</t>
  </si>
  <si>
    <t>6feb2ed0-5987-948c-8974-3f3164741c02</t>
  </si>
  <si>
    <t>70084fc3-e157-f619-594b-ec2864beb36f</t>
  </si>
  <si>
    <t>700c9d77-e5dc-c88e-e90b-085d01e3eddc</t>
  </si>
  <si>
    <t>70133df2-e377-2769-e67c-d7d221ebfa66</t>
  </si>
  <si>
    <t>704121dc-bed8-610d-afb0-141755303eee</t>
  </si>
  <si>
    <t>707117d4-ac4c-068a-c01b-29577130ebf1</t>
  </si>
  <si>
    <t>70d40e0a-6cf2-c8e5-9039-3ab47a311538</t>
  </si>
  <si>
    <t>70eb6320-2848-b4d6-7325-c4e63a784376</t>
  </si>
  <si>
    <t>71130212-dc67-94c7-b4d7-181e767698ed</t>
  </si>
  <si>
    <t>713ef21a-4efc-d63f-430d-a8a153fbc62e</t>
  </si>
  <si>
    <t>7178726c-3a3f-8b7b-9d63-5753b284cbcc</t>
  </si>
  <si>
    <t>719fe858-a871-be69-d6ea-8822a32f3663</t>
  </si>
  <si>
    <t>71b202eb-bbe5-1363-b28e-98d910d9a2f6</t>
  </si>
  <si>
    <t>71be2425-3741-2c5f-2870-07f8b7b0a35f</t>
  </si>
  <si>
    <t>72093aad-690b-8913-f26e-79953e52bb55</t>
  </si>
  <si>
    <t>722646e7-64d3-1e8f-c48d-b71e15b10bc9</t>
  </si>
  <si>
    <t>7272f646-50b6-698c-e561-550474cc0f57</t>
  </si>
  <si>
    <t>729ad7be-b728-f4b5-a147-ccdf004176f9</t>
  </si>
  <si>
    <t>72c1f400-f5c7-d283-4d65-224a20ef8c39</t>
  </si>
  <si>
    <t>72d9289a-9f3d-2de6-0e03-6befe6e486d3</t>
  </si>
  <si>
    <t>72dbe889-ecc3-c4b0-bcb1-2d675e076994</t>
  </si>
  <si>
    <t>72e22924-3b48-7665-05ae-d9bc07437528</t>
  </si>
  <si>
    <t>72eb890d-0e04-9809-bbc9-d7c490adf2f4</t>
  </si>
  <si>
    <t>72f29f42-f8db-8946-379b-d93c8e209e3a</t>
  </si>
  <si>
    <t>COMP_0045</t>
  </si>
  <si>
    <t>7309ee0f-a481-478f-73b4-4efd6366e5d6</t>
  </si>
  <si>
    <t>73145d91-e96e-6872-10af-1c7e80d21c21</t>
  </si>
  <si>
    <t>732f46d6-ac66-f179-a741-0d0577ca1571</t>
  </si>
  <si>
    <t>73682394-9496-4dba-8aa8-b41c86931604</t>
  </si>
  <si>
    <t>7390d521-b68b-f757-a8bf-ae2cc143b84c</t>
  </si>
  <si>
    <t>73afca17-6332-d2b8-a792-a8addfa092ef</t>
  </si>
  <si>
    <t>73d1cba3-2316-ab4f-150c-9f262079d4e7</t>
  </si>
  <si>
    <t>73ecec43-4a14-42e1-f059-f365530eb1cc</t>
  </si>
  <si>
    <t>7403b859-45ab-3733-b71c-fd48cd7df94e</t>
  </si>
  <si>
    <t>740532fa-5009-5a0c-9f68-a3a40366fa22</t>
  </si>
  <si>
    <t>742531b5-71d8-cbf8-2dec-529df72a0880</t>
  </si>
  <si>
    <t>743068a9-28f6-1b1f-1748-33ddb6b0f3e9</t>
  </si>
  <si>
    <t>744bcc75-18f0-3b02-6170-009304c1a19b</t>
  </si>
  <si>
    <t>74764a5b-1abc-7e20-dbe6-0bd7f752c1e6</t>
  </si>
  <si>
    <t>74a233b3-2086-721f-f280-0d14f8ce3dd5</t>
  </si>
  <si>
    <t>74bd304d-fcc2-4e13-502f-d151583c6947</t>
  </si>
  <si>
    <t>74d55e52-2b45-a319-836c-a93dc627a917</t>
  </si>
  <si>
    <t>7506321e-02d4-8b69-f922-4edf65b34222</t>
  </si>
  <si>
    <t>75633ed4-f447-cafc-bbe0-0377e6114094</t>
  </si>
  <si>
    <t>7569d150-b53f-13be-8192-671ba97d5358</t>
  </si>
  <si>
    <t>757c2419-4a2f-16fd-68e5-5d9006635658</t>
  </si>
  <si>
    <t>7599ba39-be4c-61e0-54b7-7b6e2890f597</t>
  </si>
  <si>
    <t>75ab04b3-ef2a-2046-52f3-151f18295359</t>
  </si>
  <si>
    <t>75dca64c-43a7-c357-62fd-055faaa08834</t>
  </si>
  <si>
    <t>7624131c-f707-be61-13e2-a2cf68bdaa18</t>
  </si>
  <si>
    <t>763cf842-6c04-9ba5-b759-ad2bc824f255</t>
  </si>
  <si>
    <t>7649585e-f6c6-9859-d3a2-6a09df7bbbef</t>
  </si>
  <si>
    <t>769ef5a7-07cb-bd23-adad-21b087881daa</t>
  </si>
  <si>
    <t>76a896a7-2b56-f6a5-f79b-9c7447e72be2</t>
  </si>
  <si>
    <t>76ba3948-5026-234c-4fbd-4974c142f615</t>
  </si>
  <si>
    <t>76c64989-9a7d-0ccc-9921-1f957eb9c3ab</t>
  </si>
  <si>
    <t>76f14409-0ca5-8505-d46a-74f20f4be973</t>
  </si>
  <si>
    <t>76f372c3-c992-e1af-c1b0-7d3a214c91bf</t>
  </si>
  <si>
    <t>772d9af1-d0b9-0599-c36d-c92572834ee9</t>
  </si>
  <si>
    <t>77312f06-5fd6-4a0c-6bc2-4b784c21df64</t>
  </si>
  <si>
    <t>776a74a6-ac3f-d23e-d2be-9032449db8fb</t>
  </si>
  <si>
    <t>776d6518-68b5-08af-3d25-58e853c72d87</t>
  </si>
  <si>
    <t>778b2b03-4d15-c7d5-2ef0-aafdcb4be837</t>
  </si>
  <si>
    <t>77b40195-868b-cd39-14ee-ab15ec802336</t>
  </si>
  <si>
    <t>77d7fcd4-595a-02cb-8be9-3ad3b45d71fb</t>
  </si>
  <si>
    <t>78108fb3-8075-ca4b-f33f-7b4353e61163</t>
  </si>
  <si>
    <t>7870061a-745a-2359-0fbe-49874e623a78</t>
  </si>
  <si>
    <t>7882ca15-a5a2-bf2e-ab98-bc26f2a4fb10</t>
  </si>
  <si>
    <t>7883e868-4510-a02f-edeb-8b7bf14d2cb1</t>
  </si>
  <si>
    <t>78968d7b-6e7e-3b19-dfe6-a45ce0c87b4d</t>
  </si>
  <si>
    <t>789bc0bc-a035-24b6-7690-ca5cf21847cb</t>
  </si>
  <si>
    <t>78c9cb00-7b9e-6f9a-adbd-2536b8117aef</t>
  </si>
  <si>
    <t>79309e3e-4dd2-cd08-645e-e1bda37cd223</t>
  </si>
  <si>
    <t>7933be95-deca-8e9b-7c98-c1b0b9c38c54</t>
  </si>
  <si>
    <t>7934fc6b-3f48-f13d-1cc1-5bf4831ca6bc</t>
  </si>
  <si>
    <t>7979da8a-6b8a-00d1-95ef-e1b19540772d</t>
  </si>
  <si>
    <t>79814384-7c35-9466-7cf6-ba40d727bc92</t>
  </si>
  <si>
    <t>79ae07f0-8203-d78a-d2a1-bffe554a1ebf</t>
  </si>
  <si>
    <t>79bb2e97-0664-2f67-36fd-cb09d4d84999</t>
  </si>
  <si>
    <t>79ca02c3-f7e9-2471-ba12-701c9edaa7d3</t>
  </si>
  <si>
    <t>79cf51c3-4fdf-2ef1-f4ba-cc6c641169ea</t>
  </si>
  <si>
    <t>7a3660d9-b924-bf0d-004a-dc97d132bcd9</t>
  </si>
  <si>
    <t>7a448343-9e82-31a7-7295-13d59a27529e</t>
  </si>
  <si>
    <t>7a5c86b1-c29e-28b2-8773-bc5921a84cb9</t>
  </si>
  <si>
    <t>7a5edcb6-a961-5c96-d4aa-c706802862d7</t>
  </si>
  <si>
    <t>7a663a85-8c31-82ec-def0-f7e7b0b97c23</t>
  </si>
  <si>
    <t>7aaa422d-94f8-46dc-9d2d-584c273c591d</t>
  </si>
  <si>
    <t>7acfb765-55bf-18f9-aa49-551bcfbe842e</t>
  </si>
  <si>
    <t>7b0bc093-98e8-df0d-cd0c-f5b95e6fec4f</t>
  </si>
  <si>
    <t>7b3da114-3d2c-3b8f-7f97-c8087cbacf84</t>
  </si>
  <si>
    <t>7b665bcd-e992-45af-e159-b615a6f7509d</t>
  </si>
  <si>
    <t>7babccea-cad1-a2df-2e78-ae5b61ea285d</t>
  </si>
  <si>
    <t>7bae489c-9aa4-a1db-d9b5-ed387a07d5cc</t>
  </si>
  <si>
    <t>7bd34194-67a7-23d5-1f63-da4758351249</t>
  </si>
  <si>
    <t>7c49b1d4-4e73-0dfe-4599-40e6aa85d80e</t>
  </si>
  <si>
    <t>7c5e5b94-3b65-4126-d7a4-2df27da55190</t>
  </si>
  <si>
    <t>7c861642-ca86-cacb-b197-5c0af526cacc</t>
  </si>
  <si>
    <t>7cc142ec-fb2b-2acd-5d13-1b8c5c19de62</t>
  </si>
  <si>
    <t>7cc239bc-2b1f-9741-0d12-93ee4a0fcb0f</t>
  </si>
  <si>
    <t>7ce6fdec-3ead-62f0-05d8-b31bfccc0c84</t>
  </si>
  <si>
    <t>7cf54923-7776-f4ee-6b5a-92931f97e412</t>
  </si>
  <si>
    <t>7d3b2ad6-c5ff-1a1f-939b-57c4d0481ec2</t>
  </si>
  <si>
    <t>7d83fa32-e0ba-364a-b01d-39cae3531228</t>
  </si>
  <si>
    <t>7d87cfba-4d49-ec9c-99fa-956cdacc0215</t>
  </si>
  <si>
    <t>7d9f473e-b5ce-14d7-f005-7af7e651397a</t>
  </si>
  <si>
    <t>7da5cc64-0b8c-6287-b25c-c2fb13b0108a</t>
  </si>
  <si>
    <t>7df95f41-6935-102b-62ff-611ab48d0203</t>
  </si>
  <si>
    <t>7e17b2a7-a87c-770b-b75a-4eb725d3d001</t>
  </si>
  <si>
    <t>7e2910e4-c74f-4781-724b-fd2313c17164</t>
  </si>
  <si>
    <t>7e36c08c-bf64-6ff9-bdb6-000fcc809d2d</t>
  </si>
  <si>
    <t>7e467c7b-a80a-be76-2588-e7fa22bca177</t>
  </si>
  <si>
    <t>7e4ae1f1-7d8b-dc46-b890-491cd1e8d14f</t>
  </si>
  <si>
    <t>7e624155-4a8a-5983-bc0c-0891f14d798e</t>
  </si>
  <si>
    <t>7ea26c01-99ea-0369-2897-b63cf961b527</t>
  </si>
  <si>
    <t>7ea696ea-084f-80bd-814d-d03840186032</t>
  </si>
  <si>
    <t>7eb4dd54-3c79-528f-1aeb-8afe559e8cf2</t>
  </si>
  <si>
    <t>7ecd1bb8-7a48-0d2a-12fa-f9b49fb10c25</t>
  </si>
  <si>
    <t>7edcbff0-63be-57ca-5618-c7d64e635b96</t>
  </si>
  <si>
    <t>7f2c9043-b047-d6a7-f316-12b4c96cac7b</t>
  </si>
  <si>
    <t>7f3efca5-7c76-01df-ddeb-8783bab624b9</t>
  </si>
  <si>
    <t>7f453c6e-ec98-116e-6279-0bfbeec5eba0</t>
  </si>
  <si>
    <t>7fd61923-999a-7709-bc86-bfa2ade13b95</t>
  </si>
  <si>
    <t>7fd85186-86aa-69e6-7be6-104cf136926d</t>
  </si>
  <si>
    <t>7fe441e6-c58d-7d36-1c71-f0eadd50f9b3</t>
  </si>
  <si>
    <t>7ff27c82-6ecf-3010-8213-bd9531d3a25c</t>
  </si>
  <si>
    <t>80246909-5a24-762a-2f08-8f28e1cb0108</t>
  </si>
  <si>
    <t>80328f29-dd2e-3b2a-df15-a7d238968580</t>
  </si>
  <si>
    <t>803e9929-0530-42f3-06cc-2016b397776e</t>
  </si>
  <si>
    <t>8042e47a-b8b9-9020-25dd-2b29c4d64935</t>
  </si>
  <si>
    <t>806a0617-f9f1-9255-7c23-69dd080ea133</t>
  </si>
  <si>
    <t>806b8d5f-56c1-4c27-51e7-4901381e252c</t>
  </si>
  <si>
    <t>807fe70c-6861-ddc2-acfe-3cc83b9591b1</t>
  </si>
  <si>
    <t>80914d85-2d59-af9c-e402-538c00326061</t>
  </si>
  <si>
    <t>809960e8-78b0-9422-c5e0-c3d575d5c7bc</t>
  </si>
  <si>
    <t>81067dc6-4bf1-1eda-7753-2acb6be1debc</t>
  </si>
  <si>
    <t>8190e4bc-92ac-5a35-8f4c-bf5c5f382e8e</t>
  </si>
  <si>
    <t>81ac9456-c025-5eae-d403-93fb401b6745</t>
  </si>
  <si>
    <t>81afd50c-2ec6-2a72-d876-1c4ffec0b6b5</t>
  </si>
  <si>
    <t>81c78aeb-1648-5ece-55dd-6498ca49d316</t>
  </si>
  <si>
    <t>81e028cd-b4fe-a227-a55e-c9038361cf0e</t>
  </si>
  <si>
    <t>81f1b574-e09b-0b88-21a4-b45acd101239</t>
  </si>
  <si>
    <t>823aa0a8-b412-3fa7-0211-0732156be9ce</t>
  </si>
  <si>
    <t>8242cd5d-8194-e95c-c2dc-45c720bd66ed</t>
  </si>
  <si>
    <t>82828394-9ea1-2ee2-508d-47ac4ae33302</t>
  </si>
  <si>
    <t>82955bb9-61df-3571-fa8d-268f49de8c74</t>
  </si>
  <si>
    <t>829746bc-c4d2-9852-458d-379e423dbc34</t>
  </si>
  <si>
    <t>82d228d1-db25-61a2-a1fa-c5ae3d076115</t>
  </si>
  <si>
    <t>82d79626-8154-b3a4-bdfa-f6f879ed5dd6</t>
  </si>
  <si>
    <t>82f4956e-0f7e-0b85-613d-257ba648d30e</t>
  </si>
  <si>
    <t>83036a7e-52b3-31d3-8f60-d4314a740915</t>
  </si>
  <si>
    <t>834d79a7-f8ed-4d03-6998-f726be9fbb8d</t>
  </si>
  <si>
    <t>83708375-87ae-7f6c-b4b2-9a1cb37c6c2a</t>
  </si>
  <si>
    <t>838f4c7c-0585-d298-d52d-f0edaf4d31a5</t>
  </si>
  <si>
    <t>838f836e-89c0-2841-a650-11e800e65a9a</t>
  </si>
  <si>
    <t>84676858-10fa-6bf9-dee2-c24ec44da79c</t>
  </si>
  <si>
    <t>84d8daef-e70a-a8ef-5016-aa919f755b31</t>
  </si>
  <si>
    <t>84f7407b-0c8c-57a4-ed0c-60065b8b3ad0</t>
  </si>
  <si>
    <t>84fb5b6d-8f79-4172-b98f-822b89401618</t>
  </si>
  <si>
    <t>85484a41-977b-f323-dd61-90a646ea1a2d</t>
  </si>
  <si>
    <t>8567054b-5cef-b3c9-3c6d-de2a01dfbdfb</t>
  </si>
  <si>
    <t>858d3eda-ac28-f833-2a0b-051d1ba70ea8</t>
  </si>
  <si>
    <t>8591d24c-532a-c5ea-7e61-413e0875f735</t>
  </si>
  <si>
    <t>85b775b3-13df-eac1-5389-82527646b093</t>
  </si>
  <si>
    <t>85d51812-4d0e-566c-e362-6b0ee32dbf7f</t>
  </si>
  <si>
    <t>861374d5-0c0d-7a32-5128-3613e89232e6</t>
  </si>
  <si>
    <t>863fd1db-9cbf-d9d9-c04b-333ab4132ef4</t>
  </si>
  <si>
    <t>865bfa16-bf5f-f5ad-d239-f8adc6650f35</t>
  </si>
  <si>
    <t>867138b2-26d7-caba-cda7-00cdba7af8ad</t>
  </si>
  <si>
    <t>867d4f2b-f477-6456-f196-d8b5f4b9705e</t>
  </si>
  <si>
    <t>86b953f7-4086-845b-3e83-c70a129f97db</t>
  </si>
  <si>
    <t>86cc0c83-9af7-39d5-4afb-957a9d02693e</t>
  </si>
  <si>
    <t>8716f890-2fdf-73e2-d914-188763a09d8e</t>
  </si>
  <si>
    <t>877c52a7-2766-7b60-b4b3-41c7f25b1fdd</t>
  </si>
  <si>
    <t>87862631-4d69-53d8-643c-e7f8c907c1b5</t>
  </si>
  <si>
    <t>879caad4-ac62-b4c2-2a42-08ef5ed67896</t>
  </si>
  <si>
    <t>87a865be-93a6-4947-133e-ce6792b584b0</t>
  </si>
  <si>
    <t>87b075e2-4ed1-5b95-c80f-8c9f95841e4d</t>
  </si>
  <si>
    <t>87bf41d6-2f95-24cf-e6f1-01588481b3c4</t>
  </si>
  <si>
    <t>87d79a19-6f6a-6d80-328a-043052014a2c</t>
  </si>
  <si>
    <t>87d9ae80-7459-d865-f339-3eda692fcaba</t>
  </si>
  <si>
    <t>8802055f-3247-6b14-5dc0-b74b0eb7a423</t>
  </si>
  <si>
    <t>88362112-0150-98ae-e5bb-b9bb06f4e69d</t>
  </si>
  <si>
    <t>8842e77c-1066-53c7-7159-69b1ee9db339</t>
  </si>
  <si>
    <t>88682e01-6ed1-861d-53f1-f26921acbc7d</t>
  </si>
  <si>
    <t>88820bd7-4ae5-2f7b-10bf-af8965ee9ff4</t>
  </si>
  <si>
    <t>88a6fc12-cdd8-8143-8ec2-2835dce56ccf</t>
  </si>
  <si>
    <t>88a929c1-3c1d-4e03-e90c-2883aea03b0d</t>
  </si>
  <si>
    <t>88a9f8c9-3f3b-b8bc-5c3b-e2019fbc36dd</t>
  </si>
  <si>
    <t>8902aac7-e361-f3bf-d21b-509a779aa98e</t>
  </si>
  <si>
    <t>892edf50-e1b1-cb8a-8c0a-1f6a9dccf28c</t>
  </si>
  <si>
    <t>893780ed-616c-5486-689d-5af6a2734e4b</t>
  </si>
  <si>
    <t>896da025-50ca-c838-c91e-4f8ce9d27f6e</t>
  </si>
  <si>
    <t>898393a8-e8d2-a91c-6c9c-d94bc5e7a513</t>
  </si>
  <si>
    <t>89857565-de5e-a80f-2ff6-7d35ca9f2123</t>
  </si>
  <si>
    <t>89a79c65-3444-4310-02b4-abc6c84905f8</t>
  </si>
  <si>
    <t>89c52855-c306-9e08-d1c4-8881b4a033ad</t>
  </si>
  <si>
    <t>89e0922c-3989-df55-0116-5c0ef39fd700</t>
  </si>
  <si>
    <t>89efb752-85a9-b42c-4e12-464b80748b34</t>
  </si>
  <si>
    <t>89f02350-294e-bd32-d8ac-c5ce15dc9efb</t>
  </si>
  <si>
    <t>8a2f3f9a-c07e-4008-abe4-e3ed5222093e</t>
  </si>
  <si>
    <t>8a681b6f-d2ff-64a5-8727-265360ac0fa1</t>
  </si>
  <si>
    <t>8ab686be-25a5-eea0-cd71-cf57aec8bedc</t>
  </si>
  <si>
    <t>8ad6e42c-11b1-00d7-d93d-bb4323a7af03</t>
  </si>
  <si>
    <t>8ad8febb-5c09-1dba-6ca0-ef9ec90b938e</t>
  </si>
  <si>
    <t>8b2075d2-ec8c-4ec6-895b-9965e12d04d6</t>
  </si>
  <si>
    <t>8b51aa58-0a0d-02a7-b9a6-b216ce4b0f33</t>
  </si>
  <si>
    <t>8b5d3e83-cbd3-4392-fb72-45bf5e5d69b8</t>
  </si>
  <si>
    <t>8bd1d232-cf50-df14-a6b3-8adbb43de814</t>
  </si>
  <si>
    <t>8bd920d5-550e-2325-d103-2f9303057855</t>
  </si>
  <si>
    <t>8be904d3-ab69-45c2-b610-85b1c806b3bd</t>
  </si>
  <si>
    <t>8c27c071-19d7-e4be-6279-cc615e2464a1</t>
  </si>
  <si>
    <t>8c2dcb65-8fc9-ff1a-5677-e67d0560d0b5</t>
  </si>
  <si>
    <t>8c4865bf-ba83-38b1-4c54-26957a60887f</t>
  </si>
  <si>
    <t>8c589ba8-1617-88de-ffe6-ddb3bbaaab1c</t>
  </si>
  <si>
    <t>8c5b3a2d-63aa-a74d-b05f-72a3a582183f</t>
  </si>
  <si>
    <t>8c7e4115-329f-99f0-b6a7-cfd71f04e605</t>
  </si>
  <si>
    <t>8c944f8e-bab1-aeeb-787f-1852f3f6b7fa</t>
  </si>
  <si>
    <t>8c94775f-17a2-d015-4006-584b7ee5c85c</t>
  </si>
  <si>
    <t>8c9699dd-8da4-b185-8aa0-b6b44f503ce8</t>
  </si>
  <si>
    <t>8ce75efb-258c-1874-e523-41a4ace5835f</t>
  </si>
  <si>
    <t>8d0669e8-5ab6-ee56-a663-509b8341bab6</t>
  </si>
  <si>
    <t>8d12d1a0-f686-a680-06ca-b3c8f120a6d1</t>
  </si>
  <si>
    <t>8d62a72d-c28e-697f-ff1f-4f43206048ee</t>
  </si>
  <si>
    <t>8def2faa-aca8-daba-da29-082f807c3169</t>
  </si>
  <si>
    <t>8df31828-bebe-9180-e9cb-666ca9740ef4</t>
  </si>
  <si>
    <t>8e50d5e6-ba48-c904-78ee-ce989a608acd</t>
  </si>
  <si>
    <t>8e64abf5-d71c-c759-0ad2-64bac94f2f33</t>
  </si>
  <si>
    <t>8e693e73-3356-91f1-7f90-787e54bed5e2</t>
  </si>
  <si>
    <t>8e69ee2c-d828-74e6-f725-9e761aec02fb</t>
  </si>
  <si>
    <t>8e9288db-5acd-ad00-85ce-c5ad9df63962</t>
  </si>
  <si>
    <t>8f00aa8b-48df-a40c-8d2e-560651fbacd9</t>
  </si>
  <si>
    <t>8f0359c8-c8c7-ddcd-474f-9c69eb13f39b</t>
  </si>
  <si>
    <t>8f20a21a-f2c4-6af7-af4e-9fd870206192</t>
  </si>
  <si>
    <t>8f3be1fb-3953-3934-0160-c55da8f61e8c</t>
  </si>
  <si>
    <t>8f6b6242-d52d-252f-e54d-3ebcc1475f0e</t>
  </si>
  <si>
    <t>8f797298-3a89-2693-7795-068eafdcb5bb</t>
  </si>
  <si>
    <t>8f920012-e8af-4f3c-e044-b796778aa820</t>
  </si>
  <si>
    <t>8f9ccdca-e020-ed46-4163-133cfcc8316b</t>
  </si>
  <si>
    <t>8fbf4a56-5321-a565-7e00-d1b17e74de63</t>
  </si>
  <si>
    <t>8fcae17e-af03-819b-9957-46a7f5076afd</t>
  </si>
  <si>
    <t>8ff710db-f917-3f94-74f2-001f8b53f8a9</t>
  </si>
  <si>
    <t>900c6f01-ff7a-0333-8280-1f02be5b4eb1</t>
  </si>
  <si>
    <t>90816d56-2cb0-8095-0f78-4f8428a8c77c</t>
  </si>
  <si>
    <t>90a46848-0b3d-6660-0a95-60e2f03289de</t>
  </si>
  <si>
    <t>90c9e654-1d22-98f3-38fc-e1fff0b40dd9</t>
  </si>
  <si>
    <t>90e911ba-293d-4f20-341d-30d8f6ba336a</t>
  </si>
  <si>
    <t>90ef641a-bae1-6aa9-d132-5131454e5dba</t>
  </si>
  <si>
    <t>90f93a95-8684-56dc-79aa-9e9484aee434</t>
  </si>
  <si>
    <t>9135b3c8-156c-9095-103a-ccdcc9cc2463</t>
  </si>
  <si>
    <t>913d7c51-37e8-c817-20a5-acf7bdd06422</t>
  </si>
  <si>
    <t>914b724b-8285-3f40-ce47-d5687bfa9471</t>
  </si>
  <si>
    <t>915de1c5-5ec5-2d5b-a5cc-3ecdbb4a4ace</t>
  </si>
  <si>
    <t>91806918-5b51-61fe-5672-aa629fd1f179</t>
  </si>
  <si>
    <t>91a2c69f-f0cc-3711-3c3d-bcfd265dfb7f</t>
  </si>
  <si>
    <t>91ad1c4a-2ab5-f3ae-b019-368374b91b46</t>
  </si>
  <si>
    <t>922403ec-08be-7cea-390c-83ebdfd802c8</t>
  </si>
  <si>
    <t>926c9267-a488-69dc-9ff9-fdb07b64d29a</t>
  </si>
  <si>
    <t>92c8f440-27a8-f5a0-0e10-3634f1e0bcd9</t>
  </si>
  <si>
    <t>92cb30d7-4ace-5fe3-6cdc-200d3631c25b</t>
  </si>
  <si>
    <t>92d00383-b1cd-a49d-3cd6-e1428c00fa23</t>
  </si>
  <si>
    <t>92ffb3b6-2a5b-2dd1-64b9-10abb06c67b9</t>
  </si>
  <si>
    <t>933a33c5-6b78-032a-ba2a-e4bf4138f534</t>
  </si>
  <si>
    <t>93554d8c-976e-664f-df84-b2d13f1c1b68</t>
  </si>
  <si>
    <t>9391e45d-c84f-ee48-8a26-6ef84d0e35cd</t>
  </si>
  <si>
    <t>93c8708f-5d70-8b6b-7cb1-0a84f1fafcb8</t>
  </si>
  <si>
    <t>93d58c98-5c42-3c96-a5ab-17c6833e6e2e</t>
  </si>
  <si>
    <t>93e33cbf-ddb1-1584-20c9-ec42440ad803</t>
  </si>
  <si>
    <t>93edee10-dadf-3c55-c239-75312f73755d</t>
  </si>
  <si>
    <t>941b4c8c-4c31-d7b7-7e05-f7a2709af66a</t>
  </si>
  <si>
    <t>94259111-9f26-f051-7dad-d95e10c650c1</t>
  </si>
  <si>
    <t>944a8eef-f66a-bf1f-cbc7-1aac54faf536</t>
  </si>
  <si>
    <t>9491c7cf-da8c-d6a3-639c-64b111484503</t>
  </si>
  <si>
    <t>9498e7a1-fa0f-c696-290f-b145e60d4310</t>
  </si>
  <si>
    <t>94e6cfe6-e690-6937-72cc-ebdcfca599e3</t>
  </si>
  <si>
    <t>94f1cf1f-b13c-d018-9daa-764991799e94</t>
  </si>
  <si>
    <t>9501b901-1348-9a01-ff25-f66b7ad36316</t>
  </si>
  <si>
    <t>9535a874-fd00-0e34-bf57-0d47f58a327b</t>
  </si>
  <si>
    <t>953f8b9a-36ea-cfc8-ad6c-34cb12f128fe</t>
  </si>
  <si>
    <t>955dafba-d086-3470-cff3-2cc418186564</t>
  </si>
  <si>
    <t>956a819a-6b92-0de4-2976-ebb9c79de485</t>
  </si>
  <si>
    <t>958b47ae-fe46-6d1d-776d-9deaf32a5c52</t>
  </si>
  <si>
    <t>95a41a16-cd32-d864-f0b7-c72ef74673cb</t>
  </si>
  <si>
    <t>95cbf45a-c8f2-9755-958a-60ded28885f3</t>
  </si>
  <si>
    <t>95f5f94b-a820-fde5-920c-65c1fee5e312</t>
  </si>
  <si>
    <t>9614cb16-7f0c-7685-76f3-8355254a6e5b</t>
  </si>
  <si>
    <t>9661d00e-7fbc-4fbe-297d-fcbb207a4276</t>
  </si>
  <si>
    <t>967255ba-981f-bdc5-0312-d562abbaa5af</t>
  </si>
  <si>
    <t>9688cb7a-e379-349f-0b52-e4c7969723e4</t>
  </si>
  <si>
    <t>96db1f7f-f612-7770-4f2b-8d8c069a4edc</t>
  </si>
  <si>
    <t>96f0c4d0-b608-08bb-64e5-3d7f5d9dae92</t>
  </si>
  <si>
    <t>97453b48-0ed4-1d4a-44cc-7f25460e2962</t>
  </si>
  <si>
    <t>974ee17e-e8de-5c7a-3dca-513eb23fddd3</t>
  </si>
  <si>
    <t>97554d8b-ca46-823a-5fc0-daa78d08eb0e</t>
  </si>
  <si>
    <t>9784b355-f18d-7569-26b1-0eecfd98ebe3</t>
  </si>
  <si>
    <t>9796e23a-2532-1c11-3b18-98d6bed5d635</t>
  </si>
  <si>
    <t>9798ce16-efc9-2a44-2793-dede4d5448f8</t>
  </si>
  <si>
    <t>97a3aa7a-e87c-1779-c489-1fe7541fdbe1</t>
  </si>
  <si>
    <t>97a74c91-27d9-0e38-d2b7-b5a1b7387491</t>
  </si>
  <si>
    <t>97bbbfc0-ff73-874f-b652-826d6fb127c0</t>
  </si>
  <si>
    <t>97d627b5-aa56-9e14-c028-56015a4e35ee</t>
  </si>
  <si>
    <t>97e863ef-05dc-4666-92a4-ecc6f6346aa2</t>
  </si>
  <si>
    <t>97e8a9b9-d9cf-b78d-c569-3dff25bc832b</t>
  </si>
  <si>
    <t>98285c14-38b9-aef9-7042-bbc4b81a2b8d</t>
  </si>
  <si>
    <t>9847654e-8995-e37e-18e1-04b4fd76e054</t>
  </si>
  <si>
    <t>987c1037-fa59-d63a-fa79-28064a7562df</t>
  </si>
  <si>
    <t>9887f878-6161-1e4f-0783-036f0c92451a</t>
  </si>
  <si>
    <t>98b5f2a2-1869-1bc8-ed4c-53350290fbb6</t>
  </si>
  <si>
    <t>98bf0fa4-0f9a-75f3-c2e3-830d717bd415</t>
  </si>
  <si>
    <t>98e9e6f0-6a1e-cf00-49b5-16bc1e50d5bd</t>
  </si>
  <si>
    <t>98f99078-3fbe-a6d8-f130-d865276c3ecc</t>
  </si>
  <si>
    <t>990f80ad-ca9b-7667-9195-673c675e4bfd</t>
  </si>
  <si>
    <t>993ed425-9806-cd8c-1365-cf5a1b8a3194</t>
  </si>
  <si>
    <t>994f0a5d-2ce6-ba48-7131-933f0e7688d4</t>
  </si>
  <si>
    <t>99ac9807-a44c-b70a-98ae-be2a7f8f9b3e</t>
  </si>
  <si>
    <t>99b575b1-c113-dc04-de82-565563e0c82a</t>
  </si>
  <si>
    <t>99d4b3c6-ba7a-1ee4-81c1-00c3dad0caaf</t>
  </si>
  <si>
    <t>99e40c0e-fd71-04ea-09f7-2799bd3cb8b0</t>
  </si>
  <si>
    <t>99f6b09c-4f78-34d0-9c34-0931af50c3f0</t>
  </si>
  <si>
    <t>99fd9185-eb89-90fa-af63-46e2bce32bb1</t>
  </si>
  <si>
    <t>9a16a0dd-757d-4c0d-3844-4b1641510032</t>
  </si>
  <si>
    <t>9a2cc3d6-d7ed-1524-0a44-d0398ea708e5</t>
  </si>
  <si>
    <t>9a7e923e-ab42-d588-e7a9-5383f7d00c7c</t>
  </si>
  <si>
    <t>9ac442f5-af14-ec6f-2874-437b7d1982ee</t>
  </si>
  <si>
    <t>9ad4dd6f-2e8d-0cd1-ed5f-7c2180eb9479</t>
  </si>
  <si>
    <t>9af61ea4-1689-fa94-d014-d4e511c9db3f</t>
  </si>
  <si>
    <t>9afcd108-8da3-66e5-0d8c-d580e46ef248</t>
  </si>
  <si>
    <t>9b60efa8-e70e-a8ac-036f-97b77556f068</t>
  </si>
  <si>
    <t>9baf31e0-c2f8-8c63-0722-8dd022acc306</t>
  </si>
  <si>
    <t>9bafc4b5-9eef-b0e2-cf3e-aac8205cb822</t>
  </si>
  <si>
    <t>9bda120b-859a-19e5-332f-5ed7fcad6108</t>
  </si>
  <si>
    <t>9be5c170-993f-cd66-85e1-9e425bedaeae</t>
  </si>
  <si>
    <t>9c668dae-0cbc-6053-acf3-2012085725ee</t>
  </si>
  <si>
    <t>9c6b3e49-6438-6dbb-69c6-9d7b92c964ff</t>
  </si>
  <si>
    <t>9c8cb282-5238-61b8-285e-8caa022e7b85</t>
  </si>
  <si>
    <t>9c8d6536-462c-8f6d-4302-960a9cdb1406</t>
  </si>
  <si>
    <t>9cbb712a-19c3-df1a-53cc-ec99db35a2a5</t>
  </si>
  <si>
    <t>9ce3836a-9411-71ca-3166-4f780374a42c</t>
  </si>
  <si>
    <t>9ce3f9f3-19ec-01d6-c0a0-a6e16293f63f</t>
  </si>
  <si>
    <t>9d1efb80-4ca5-3a2e-533b-0cfc6c6763a4</t>
  </si>
  <si>
    <t>9d29614e-9665-f936-2978-5f227a769983</t>
  </si>
  <si>
    <t>9d70910e-0891-5009-83e4-5ba08aaf8203</t>
  </si>
  <si>
    <t>9d7ed1f4-5f96-e38b-ccf4-ba564f601158</t>
  </si>
  <si>
    <t>9dc81f1b-32c7-73bf-ab5b-e23ae9e4dde5</t>
  </si>
  <si>
    <t>9ddfc70f-c92b-d5e6-e233-04dae39d9f4c</t>
  </si>
  <si>
    <t>9df928e1-060b-0ddc-74cb-1875afffc47e</t>
  </si>
  <si>
    <t>9e0004bc-24f7-8f1f-8a74-7b89f026afbe</t>
  </si>
  <si>
    <t>9e0628c6-e1bb-e98a-7013-d22f6bef6900</t>
  </si>
  <si>
    <t>9e224d07-7e58-9006-d600-2e5bf2783c0c</t>
  </si>
  <si>
    <t>9e29d941-439c-574a-07bc-8969050884ec</t>
  </si>
  <si>
    <t>9e51127c-ead1-2676-35e6-206f7b70a3b2</t>
  </si>
  <si>
    <t>9e71f237-940f-49be-5b92-512ffd217c7a</t>
  </si>
  <si>
    <t>9e7380ed-c376-4ce5-ba94-52f19b4deccb</t>
  </si>
  <si>
    <t>9ea59716-2e01-f32c-98f8-dfd1d08026c0</t>
  </si>
  <si>
    <t>9eb98a30-15e0-46b6-32a6-fef4947cc1e7</t>
  </si>
  <si>
    <t>9efbb730-e754-10ab-0a08-d688f1ff2a1a</t>
  </si>
  <si>
    <t>9f38288a-0316-a7f0-6c85-aba11a790e70</t>
  </si>
  <si>
    <t>9f6debda-d942-2fc6-d4de-91dcb24b8b9a</t>
  </si>
  <si>
    <t>9f6f1923-ab82-f7f2-8b10-d766ec68150d</t>
  </si>
  <si>
    <t>9f839da2-1947-4347-a715-3ede4d6d891f</t>
  </si>
  <si>
    <t>9f8ed35c-c822-a782-ba2b-bb354b933137</t>
  </si>
  <si>
    <t>9f993e19-9ac0-bc82-0241-8ac90dd8cc8a</t>
  </si>
  <si>
    <t>9f9e53f7-e3e8-d52c-d251-94b2907e0f8d</t>
  </si>
  <si>
    <t>9fa73cef-fc15-4477-6a46-3de54df4350f</t>
  </si>
  <si>
    <t>9faeb44b-d82a-b837-c8a6-4878e6205633</t>
  </si>
  <si>
    <t>9fc3958e-d8cb-9cc9-b217-4ac824d27ef6</t>
  </si>
  <si>
    <t>9fe5db25-bfd9-a421-498b-4787d1748b92</t>
  </si>
  <si>
    <t>a001ec4e-2077-a68b-c9e7-62007889eca5</t>
  </si>
  <si>
    <t>a0263df3-efdb-1e0b-96c7-c9f60fa915bc</t>
  </si>
  <si>
    <t>a02da18e-62f8-fba7-a63d-45d9b5619620</t>
  </si>
  <si>
    <t>a041f68c-6e51-688b-2d34-1fb78fa5f496</t>
  </si>
  <si>
    <t>a0707004-e90b-f52e-ec01-2ab9510ddb6b</t>
  </si>
  <si>
    <t>a0acfdea-74c4-2208-f990-e7f8d85d495a</t>
  </si>
  <si>
    <t>a0e07d79-2cf2-efb1-3b7d-ceab653c91c5</t>
  </si>
  <si>
    <t>a147b5f6-68be-ea21-e481-fe536b8b6a34</t>
  </si>
  <si>
    <t>a16e1f98-5fd4-4a52-7c5b-f843a26ac776</t>
  </si>
  <si>
    <t>a18dfe23-d261-01ef-4766-348df3325195</t>
  </si>
  <si>
    <t>a1ad0f29-8482-5a28-2082-d5ec3e3b1924</t>
  </si>
  <si>
    <t>a1db21d3-1e8b-9e87-e321-8d020cec131f</t>
  </si>
  <si>
    <t>a210ffd7-0c0f-81ca-456b-ada670b1e029</t>
  </si>
  <si>
    <t>a26c6319-84aa-ac23-3cc7-b5d0dbbf3ec6</t>
  </si>
  <si>
    <t>a26ed715-c192-99ee-0196-bbb926e0e55b</t>
  </si>
  <si>
    <t>a28b3074-e947-995a-e6c9-c5cfad92651a</t>
  </si>
  <si>
    <t>a299d66d-3bd9-2123-7a93-ea031203c42d</t>
  </si>
  <si>
    <t>a2acf624-3f33-84a0-19e6-58dff937bac3</t>
  </si>
  <si>
    <t>a2b8d71d-0a47-c1a7-ddb0-71bc1c983329</t>
  </si>
  <si>
    <t>a3159fc3-5bd4-a8e2-7104-dd2e01b140c6</t>
  </si>
  <si>
    <t>a33efebc-4603-22a5-fd60-b680bbf76b69</t>
  </si>
  <si>
    <t>a35e3b8d-f5e1-b281-2bba-2dadfe28d00f</t>
  </si>
  <si>
    <t>a375e7c2-360b-390b-915a-dc08630eb217</t>
  </si>
  <si>
    <t>a38fb15b-2a41-1531-f0a6-4b0cca231109</t>
  </si>
  <si>
    <t>a392177b-cd3e-4cae-8397-cb1f4950829b</t>
  </si>
  <si>
    <t>a3a8beef-67eb-65c5-1750-0d03d6e49c0b</t>
  </si>
  <si>
    <t>a3e79368-9dad-1673-9815-911e369a132a</t>
  </si>
  <si>
    <t>a3e84f76-2e93-a1b3-bf8f-da5a2a404533</t>
  </si>
  <si>
    <t>a4015d21-1987-bff4-3582-47db3031ffb3</t>
  </si>
  <si>
    <t>a428f9ce-20b3-b350-2d66-155dc934acbb</t>
  </si>
  <si>
    <t>a43b7108-b619-2aa6-96dd-e9dbb6ed8bbb</t>
  </si>
  <si>
    <t>a4471ed9-99b2-ca37-dfd5-3433be1b1aa2</t>
  </si>
  <si>
    <t>a470e1b2-9cd1-c816-bf04-4a9d24360044</t>
  </si>
  <si>
    <t>a4797601-979c-1cbf-bfab-1e6308da323d</t>
  </si>
  <si>
    <t>a4b76cd9-1079-3bd0-fd63-010ca062b213</t>
  </si>
  <si>
    <t>a4fd47c6-d89a-d635-39a4-4ad45871a109</t>
  </si>
  <si>
    <t>a554a4e4-6587-2c02-3141-d71592cc8e46</t>
  </si>
  <si>
    <t>a59775d0-a0d4-f0b4-f27e-1a34d7babca7</t>
  </si>
  <si>
    <t>a5d3b82a-ed3d-2b33-bf95-7c01fe0c6877</t>
  </si>
  <si>
    <t>a60c797e-25ec-6c92-1c12-57e9726535b4</t>
  </si>
  <si>
    <t>a62424cb-3fc4-1eea-8c60-79cccff1d230</t>
  </si>
  <si>
    <t>a64ca1d5-ee82-9230-10f6-a575b44c59ea</t>
  </si>
  <si>
    <t>a66a5ce9-83f8-cce4-a6a6-4701bbe10346</t>
  </si>
  <si>
    <t>a6e6b91e-066f-4fba-172d-618c8b07241d</t>
  </si>
  <si>
    <t>a6fef476-7bb4-8e4e-4830-49fef7bc7413</t>
  </si>
  <si>
    <t>a747e815-6f06-171c-058e-dee94aa204be</t>
  </si>
  <si>
    <t>a7571214-0b1d-700a-a415-8384239135dc</t>
  </si>
  <si>
    <t>a7c995eb-6202-ba9c-ef42-f03125586bbe</t>
  </si>
  <si>
    <t>a7e819ff-7eb6-87e8-3f8f-d4f8b3381783</t>
  </si>
  <si>
    <t>a81ce085-273a-05f0-0fe3-012f49f6174b</t>
  </si>
  <si>
    <t>a82bc4c2-e6eb-a723-b799-1dec9dde8165</t>
  </si>
  <si>
    <t>a82dd537-70f3-004f-2ec0-27f771069069</t>
  </si>
  <si>
    <t>a82efa77-21c9-6975-79f4-da56c6457196</t>
  </si>
  <si>
    <t>a86f9ceb-2f47-c479-c762-b98007faabb4</t>
  </si>
  <si>
    <t>a8885167-fb13-d709-7118-4ec12708d5bc</t>
  </si>
  <si>
    <t>a8b1e773-f0c8-38a1-aef9-a2220109b097</t>
  </si>
  <si>
    <t>a90a99f2-6167-8301-ed1f-584c575a4598</t>
  </si>
  <si>
    <t>a935a481-df65-d69b-9127-5e2cc7f3d2bd</t>
  </si>
  <si>
    <t>a93d291f-fbe3-9777-2949-953be2e39b6c</t>
  </si>
  <si>
    <t>a949ccd1-3365-2f0a-4a85-b87eee878b6e</t>
  </si>
  <si>
    <t>a94a42b1-2d7a-ccc1-04ec-7a6e8e5b21ec</t>
  </si>
  <si>
    <t>a99b7922-5ab3-3c08-ca54-c74700379fc5</t>
  </si>
  <si>
    <t>a9a9dcef-f3e5-a663-0002-5c9ea8cabfc3</t>
  </si>
  <si>
    <t>aa347c92-1652-b3e5-ef35-a40af430118f</t>
  </si>
  <si>
    <t>aa5fb8e4-a2fa-4521-31f8-3d6373c70785</t>
  </si>
  <si>
    <t>aa665453-11ac-46ed-0617-3d8a4910d3a9</t>
  </si>
  <si>
    <t>aaa87735-c39b-f06d-cfe7-487fa3d2bf8e</t>
  </si>
  <si>
    <t>ab4ddad8-e2d1-b8d3-dddf-97295e08382c</t>
  </si>
  <si>
    <t>ab681e8d-51fc-91f0-6bc0-75c4bfa0cf91</t>
  </si>
  <si>
    <t>ab6d39d2-0dc1-b036-fb05-f231e1f697a2</t>
  </si>
  <si>
    <t>ab843aee-516c-7c0c-fede-2ec392817c27</t>
  </si>
  <si>
    <t>ac000ae9-5606-7172-ecde-13007d98305a</t>
  </si>
  <si>
    <t>ac0a54bb-143d-8514-ef06-8d5eac6ab741</t>
  </si>
  <si>
    <t>ac1ea2f2-d784-b61c-028a-2b03ac0368ee</t>
  </si>
  <si>
    <t>ac20cd44-278b-a904-4084-1e2186088e26</t>
  </si>
  <si>
    <t>ac5f58c2-3ed8-b97e-afda-02858410f550</t>
  </si>
  <si>
    <t>aca4f381-f6f1-65a9-14a6-4b887c6ae578</t>
  </si>
  <si>
    <t>acb0007f-d572-09d4-949c-9a178a8dce8d</t>
  </si>
  <si>
    <t>acd95010-249c-79c3-2181-9ee6bc18f93e</t>
  </si>
  <si>
    <t>aceb3162-e040-5389-e126-70d8c500869a</t>
  </si>
  <si>
    <t>acf6b51a-b7c9-1ae2-5aa9-6fad32f40ea4</t>
  </si>
  <si>
    <t>acf773d9-c900-fb7a-001e-ce5eb0675abf</t>
  </si>
  <si>
    <t>ad0bc432-6226-b8c6-c1ac-2142a10d36f1</t>
  </si>
  <si>
    <t>ad254473-e73b-d12c-d3f6-9bdabe35c731</t>
  </si>
  <si>
    <t>ad8948f0-bda7-3167-36dc-caa1802e644f</t>
  </si>
  <si>
    <t>adaf168a-a5eb-f4d4-3c53-4abda99c65eb</t>
  </si>
  <si>
    <t>adbe43a9-8812-6307-885d-dcd42aef5c30</t>
  </si>
  <si>
    <t>addca2dd-2be1-75ce-c1f1-a4cbbd096d18</t>
  </si>
  <si>
    <t>ae3960df-fee6-f568-cdf9-3197e3011c5c</t>
  </si>
  <si>
    <t>ae6452ff-ea50-0d4a-032c-6a93f91519a3</t>
  </si>
  <si>
    <t>ae80407c-be19-6fea-88b4-58deb3e23627</t>
  </si>
  <si>
    <t>aef9e05f-b852-0afd-2f9d-54cdaedb9423</t>
  </si>
  <si>
    <t>af10eef8-1058-61c6-6e97-a7b8dfb5de13</t>
  </si>
  <si>
    <t>af173e78-beb2-dc55-273d-d5824c948779</t>
  </si>
  <si>
    <t>af5e1b01-0ee3-6ab2-4145-2a5872e39819</t>
  </si>
  <si>
    <t>af8ddaed-6992-978d-2505-4700e1834e9c</t>
  </si>
  <si>
    <t>afb06654-9e98-fd76-cd42-a0de15830c09</t>
  </si>
  <si>
    <t>afb97239-5215-6570-27c6-c70b0ae04684</t>
  </si>
  <si>
    <t>afc39dd6-332e-a8b3-aace-d1067c97bcb8</t>
  </si>
  <si>
    <t>afd0d04d-328f-9e0e-f590-dd3d72419865</t>
  </si>
  <si>
    <t>b02201da-45d1-7faf-c77e-56c1f212600a</t>
  </si>
  <si>
    <t>b029b735-bd54-f7bb-bb6f-faab0eaae56c</t>
  </si>
  <si>
    <t>b03a3204-d756-af47-1251-6092cf42f32c</t>
  </si>
  <si>
    <t>b053ef78-1974-5b81-4f4d-732cb8d4040e</t>
  </si>
  <si>
    <t>b057e7e1-484c-96a4-0eca-1eeb59335e33</t>
  </si>
  <si>
    <t>b09600f2-f40d-edd7-86da-246cc218d92d</t>
  </si>
  <si>
    <t>b0c18f17-19c6-a6a6-efe2-22fd97589206</t>
  </si>
  <si>
    <t>b0e3a749-67b8-0129-d327-5de0dfad75ea</t>
  </si>
  <si>
    <t>b0f04e58-65b1-c85e-f5d8-16467d8d5f6a</t>
  </si>
  <si>
    <t>b11e942f-887b-88ff-978e-abae4b8d46a5</t>
  </si>
  <si>
    <t>b1270007-5480-b8f4-8e35-691078663ef5</t>
  </si>
  <si>
    <t>b16c0c23-8824-8480-99e2-57558d8e7276</t>
  </si>
  <si>
    <t>b17aaf46-97d4-dc65-0a51-4f3e820cae8c</t>
  </si>
  <si>
    <t>b198443e-1488-c755-8126-a2225bfe264a</t>
  </si>
  <si>
    <t>b1b7fb65-7e13-a997-5190-9342accdfa6c</t>
  </si>
  <si>
    <t>b1c096db-d6e8-0862-f3fc-b27c791e6f88</t>
  </si>
  <si>
    <t>b1c8c378-b5fe-6924-be64-586613b36cd3</t>
  </si>
  <si>
    <t>b1caddea-e64e-492a-3028-428f65cf6ef8</t>
  </si>
  <si>
    <t>b2016db6-c383-574c-e946-d4bf644ce366</t>
  </si>
  <si>
    <t>b20a24ed-0a8c-7ea0-0e1d-9d8aca68f15e</t>
  </si>
  <si>
    <t>b2622e4a-8ed2-059a-df63-98ad7c54e52d</t>
  </si>
  <si>
    <t>b2843e81-511a-d254-fbfe-c60d3e2b06e9</t>
  </si>
  <si>
    <t>b2a70b90-49a6-af76-fd90-2d8f1f0fc068</t>
  </si>
  <si>
    <t>b2b58879-e5bd-9791-2c46-9645c1192036</t>
  </si>
  <si>
    <t>b2be79fd-991b-9a91-4b84-1de88ed8dcee</t>
  </si>
  <si>
    <t>b2c64530-763d-5c2a-1e0c-ccafee2388e9</t>
  </si>
  <si>
    <t>b31c4474-4bc9-8090-6a5f-58dd7d9d5911</t>
  </si>
  <si>
    <t>b32f4b86-e1dc-bfb2-29c1-c6c9dd665bf1</t>
  </si>
  <si>
    <t>b3541f4d-d374-9de6-8149-41078cbb76db</t>
  </si>
  <si>
    <t>b383964c-9a62-d073-de1f-4d9523c39ba3</t>
  </si>
  <si>
    <t>b3b588d9-59a3-9e6a-9e22-8f3203ddcb26</t>
  </si>
  <si>
    <t>b3d18434-e63c-e192-4afb-307bd609f7fb</t>
  </si>
  <si>
    <t>b493463d-b0ab-258b-a5fb-0b99c7ec1f1a</t>
  </si>
  <si>
    <t>b5023c64-a17b-ee23-1114-1c943b868d9a</t>
  </si>
  <si>
    <t>b50b0e30-2f03-a287-f1ba-a6e17db783dd</t>
  </si>
  <si>
    <t>b5113e1d-2f09-7c16-83d1-811146191741</t>
  </si>
  <si>
    <t>b52b9f22-1921-c857-5937-2d830a1a4a67</t>
  </si>
  <si>
    <t>b542163f-acf3-a306-bb0f-1aed20f361ae</t>
  </si>
  <si>
    <t>b57a8442-25a6-2172-3323-f2105491bbc4</t>
  </si>
  <si>
    <t>b5806dff-19b7-6fdf-6de9-28c590672138</t>
  </si>
  <si>
    <t>b5a9d346-62bd-51d6-6ab0-1b9598ce13b6</t>
  </si>
  <si>
    <t>b5aa9622-ca33-81da-675c-f9ded552c4f2</t>
  </si>
  <si>
    <t>b5efee0d-f687-eaef-8e5c-179898956cf9</t>
  </si>
  <si>
    <t>b5f3ff6d-d84a-5ab6-6c76-1ac7a35d8126</t>
  </si>
  <si>
    <t>b60cfcda-f99a-127d-e9c9-8bb57cbfa174</t>
  </si>
  <si>
    <t>b61f67a2-39cb-db96-f5af-b85185db21a9</t>
  </si>
  <si>
    <t>b64ab8e9-bec8-5f65-2bc5-1dfee18e0100</t>
  </si>
  <si>
    <t>b675241a-0310-4794-118f-c9127ab43150</t>
  </si>
  <si>
    <t>b6758b98-19ad-14ac-3160-61508a0b94f7</t>
  </si>
  <si>
    <t>b6a4fbc7-50a6-aa70-e9b9-2a52b03c224a</t>
  </si>
  <si>
    <t>b6b18961-60c3-a727-0b75-fa51ef54ce2a</t>
  </si>
  <si>
    <t>b6bc9e01-8fb7-5001-40e4-191d27852848</t>
  </si>
  <si>
    <t>b7038c46-4087-3024-4f26-79f3926b529a</t>
  </si>
  <si>
    <t>b71c1245-4183-226e-a3de-8dcfe4e06631</t>
  </si>
  <si>
    <t>b71c7f2f-b7bc-3792-c613-177b378114c2</t>
  </si>
  <si>
    <t>b731c478-5309-36dd-42de-40281f4e92ee</t>
  </si>
  <si>
    <t>b73ac484-ea61-e461-d03f-63f92ed83d29</t>
  </si>
  <si>
    <t>b7746862-d559-1105-9e5f-e076d3597f7b</t>
  </si>
  <si>
    <t>b785b0f2-3118-a9c2-ee9f-6579bbbeaeac</t>
  </si>
  <si>
    <t>b7e4c276-fe6c-ab07-30f8-e59b4ad92087</t>
  </si>
  <si>
    <t>b7e8a6fa-631e-0dfc-362a-b003fc1f847f</t>
  </si>
  <si>
    <t>b7f843a5-3ef5-705a-6bc3-602703a81cdd</t>
  </si>
  <si>
    <t>b810d43c-a074-17f3-d4ae-2429fb447409</t>
  </si>
  <si>
    <t>b81af989-e135-0aca-0976-1e5eb4bd1f68</t>
  </si>
  <si>
    <t>b81fe0ab-b71d-4147-4fea-b5a88d4bea25</t>
  </si>
  <si>
    <t>b822f0e5-f453-8a98-7f03-37dd9e74aea5</t>
  </si>
  <si>
    <t>b84067f0-ab31-2b81-32e7-3a7bffeffc46</t>
  </si>
  <si>
    <t>b858a5b9-18f1-2e65-0761-634b760f29dc</t>
  </si>
  <si>
    <t>b85c9fd3-1fda-6fe4-e859-63e54c66e30a</t>
  </si>
  <si>
    <t>b87aadb6-028d-fc7f-0465-d6494f354197</t>
  </si>
  <si>
    <t>b87e922b-8a38-098b-771d-68813dd193df</t>
  </si>
  <si>
    <t>b8bcd8cd-6644-bcbc-8c98-f84e6251419e</t>
  </si>
  <si>
    <t>b8e25ad2-54aa-4b0a-001d-bb8ec792e4d5</t>
  </si>
  <si>
    <t>b8e587b6-8373-2dc7-2f22-0ab5af500822</t>
  </si>
  <si>
    <t>b8f19e5e-9590-1397-21c1-ad5f791b0359</t>
  </si>
  <si>
    <t>b96ecfcd-dab3-89ec-e46e-64987e8686f7</t>
  </si>
  <si>
    <t>b97685ea-a5f7-d6d9-1219-ea042df63909</t>
  </si>
  <si>
    <t>b9b831e1-abbd-c221-552b-f595f4dc7c88</t>
  </si>
  <si>
    <t>b9d9752e-f93e-7ccd-9a38-3476f3d219d4</t>
  </si>
  <si>
    <t>b9dd47c8-e947-8f8e-d757-94e9ae4f4962</t>
  </si>
  <si>
    <t>b9f58613-8ff9-c931-0456-f1bbd804c18b</t>
  </si>
  <si>
    <t>b9fb2efe-c924-6ea8-64ad-a4e87d07097d</t>
  </si>
  <si>
    <t>ba0b2dc1-664a-0372-354b-a0d9fa0362c5</t>
  </si>
  <si>
    <t>ba2392aa-466c-06f2-2907-d0be898c5bd6</t>
  </si>
  <si>
    <t>ba297e9b-957b-5012-21b3-c9c00406f9fb</t>
  </si>
  <si>
    <t>ba4cb3b7-53ae-890e-5f32-424f46fc93c2</t>
  </si>
  <si>
    <t>ba4f5af9-e907-6c97-5dfb-cd5408cab593</t>
  </si>
  <si>
    <t>bac7d914-8cf6-6d85-a1a5-46b8219f2d64</t>
  </si>
  <si>
    <t>badf4378-fd86-7415-8486-52dd7504328a</t>
  </si>
  <si>
    <t>bae6abb6-5413-9948-ed5a-1db5f65ca430</t>
  </si>
  <si>
    <t>baefe946-553a-15b3-76db-dd7e4201dcbb</t>
  </si>
  <si>
    <t>bb1bceaf-b090-2f0b-a810-937604b671b8</t>
  </si>
  <si>
    <t>bb3f1957-95e3-908a-681e-5e135bb502fc</t>
  </si>
  <si>
    <t>bb5e0c8b-4184-46f8-eedd-4cfa4770c7fa</t>
  </si>
  <si>
    <t>bb753744-35d5-b467-d815-019dee2044b3</t>
  </si>
  <si>
    <t>bb8de645-cd2f-7089-ab6d-9b7749dd1ecb</t>
  </si>
  <si>
    <t>bb9cdf44-4e28-061a-32df-a273f9ab57fa</t>
  </si>
  <si>
    <t>bbb992d2-4a2a-2b6e-936c-ccac5a1e0b2a</t>
  </si>
  <si>
    <t>bbc8b84a-b242-84b2-3d71-d49896fb7060</t>
  </si>
  <si>
    <t>bbd47a8c-9ed4-a4a7-89fb-b2779545571b</t>
  </si>
  <si>
    <t>bc0a0f66-2507-6381-212c-995a4c430a67</t>
  </si>
  <si>
    <t>bc1c84cb-1254-6324-7832-f0c4c5bbc577</t>
  </si>
  <si>
    <t>bc58e8cb-20d4-c767-808b-2c51929537a9</t>
  </si>
  <si>
    <t>bc5d5a3e-617c-667a-0106-c4867689a9a6</t>
  </si>
  <si>
    <t>bc6df6bf-f518-0c52-302c-d0b8685df7de</t>
  </si>
  <si>
    <t>bc9b48d6-3e31-96bd-02ab-49389befad6e</t>
  </si>
  <si>
    <t>bca5133d-b77e-ca68-f887-d71dba093bb9</t>
  </si>
  <si>
    <t>bcbfc824-3eff-8889-d4b7-7309c4cd5994</t>
  </si>
  <si>
    <t>bd106264-8335-0499-0c31-8f3317b28e5d</t>
  </si>
  <si>
    <t>bd7d3982-29b5-f42d-cda2-77a247483ec3</t>
  </si>
  <si>
    <t>bdc8868a-4596-34cd-1d76-f6a11f112a87</t>
  </si>
  <si>
    <t>be1a1b76-02f3-6eb6-2266-09ac0e202305</t>
  </si>
  <si>
    <t>be387e62-c686-409d-2259-b9f8a07ae26f</t>
  </si>
  <si>
    <t>be475fac-d4f0-f1d7-14d5-8e50770f2d3a</t>
  </si>
  <si>
    <t>bee4b18e-5fa4-5478-305e-ade8ea35e615</t>
  </si>
  <si>
    <t>bef95944-79fa-b254-38a1-4c77952d8e0f</t>
  </si>
  <si>
    <t>bf15ffe2-062c-aaa8-147a-38c3b0342829</t>
  </si>
  <si>
    <t>bf5c612f-4056-86c2-7653-d6628e7ec865</t>
  </si>
  <si>
    <t>bf62499b-d0c0-834c-2288-169f0085a9c4</t>
  </si>
  <si>
    <t>bfa9990a-bcd0-b430-a0c0-f8849574b6b2</t>
  </si>
  <si>
    <t>bfc78dab-f7b7-4c51-e310-b52c269a4bdf</t>
  </si>
  <si>
    <t>bfef555d-9e48-b3a4-be20-2d53dd6c2b02</t>
  </si>
  <si>
    <t>c00723a1-bfb8-029c-0823-936c1eddf1de</t>
  </si>
  <si>
    <t>c021e27c-2dee-e29f-53c4-c0608296b63a</t>
  </si>
  <si>
    <t>c027bb66-5757-31db-5a95-ddf703f485ea</t>
  </si>
  <si>
    <t>c04b133d-7e5e-d0a1-1b22-3d1ff87fb525</t>
  </si>
  <si>
    <t>c07fef95-b08a-aa2e-de94-a10c940b2015</t>
  </si>
  <si>
    <t>c0b98753-5220-3a61-a6f1-c3c7ef09b282</t>
  </si>
  <si>
    <t>c101a30f-67d9-2d15-a6e4-356cbdbf74c0</t>
  </si>
  <si>
    <t>c111c310-8005-defa-b6c7-67ad8b6d9b89</t>
  </si>
  <si>
    <t>c133cf69-dfb2-0941-31fa-1213657ee102</t>
  </si>
  <si>
    <t>c138173c-e0ed-fbb6-b83a-1ad02c5fc043</t>
  </si>
  <si>
    <t>c14148aa-3bac-0d8e-98a0-4a19ebe06ca0</t>
  </si>
  <si>
    <t>c1698582-cacf-09f9-ded1-ce8cda7c5fcb</t>
  </si>
  <si>
    <t>c1ad1f9d-92bf-76b2-78d8-e804a7d6845e</t>
  </si>
  <si>
    <t>c1c0b5b0-5fa3-f100-cd00-e1aa977684e6</t>
  </si>
  <si>
    <t>c1e572f5-2769-acd1-3afe-e12143bd123e</t>
  </si>
  <si>
    <t>c220f730-8119-fa4b-bb1c-8a69fcec86fc</t>
  </si>
  <si>
    <t>c2242ce3-e2d2-bf1c-183d-0f0ad8e40335</t>
  </si>
  <si>
    <t>c2287712-7d16-9690-e820-3b550c3d77f8</t>
  </si>
  <si>
    <t>c264ebae-6e17-e1c0-b8fc-1f92a37be603</t>
  </si>
  <si>
    <t>c2665baa-4fe6-96d1-e075-7bbb18c4919b</t>
  </si>
  <si>
    <t>c26dc8fe-810d-540a-5e28-25e5a8fdd391</t>
  </si>
  <si>
    <t>c27cb3ac-d36a-9437-d532-75b76a6d1137</t>
  </si>
  <si>
    <t>c2a8c487-f607-d984-506c-4cf44f6575cf</t>
  </si>
  <si>
    <t>c2ab33b6-4b12-f305-d0a5-219d3bb11fa9</t>
  </si>
  <si>
    <t>c2f4d931-3de6-bc07-8cb9-9b7fc10a5f84</t>
  </si>
  <si>
    <t>c3814023-c7c4-22f7-2d99-bc3a54502c1d</t>
  </si>
  <si>
    <t>c3995c3f-28f7-91aa-9d95-32bba888b1fe</t>
  </si>
  <si>
    <t>c3a00a3f-ec7e-382d-7b3d-759af2c92a93</t>
  </si>
  <si>
    <t>c3b27881-eb29-17ef-45d8-6be63f27ed6f</t>
  </si>
  <si>
    <t>c3d05c57-b27c-482c-42fd-6d7a672c3560</t>
  </si>
  <si>
    <t>c3ddde8f-21c1-3178-29a8-4d9c539f4502</t>
  </si>
  <si>
    <t>c422b7bd-6820-738c-1bee-43841f56c20a</t>
  </si>
  <si>
    <t>c445bdf6-8d02-0863-c938-fb75f373df19</t>
  </si>
  <si>
    <t>c48b6c79-0acf-d0fa-18ac-be6423b9ba02</t>
  </si>
  <si>
    <t>c48cf8a9-bc1a-8996-3ef9-04c8cc921cf2</t>
  </si>
  <si>
    <t>c4c53f88-477e-19b8-d06a-58b77e9bed7a</t>
  </si>
  <si>
    <t>c4d49115-9ff4-b6c0-08c2-17c26b333eee</t>
  </si>
  <si>
    <t>c4df863e-d7f5-3197-fc63-694228bf3600</t>
  </si>
  <si>
    <t>c4efb6df-b7be-7818-6cf5-eb076339150a</t>
  </si>
  <si>
    <t>c4f76167-1628-8e91-4dbd-007c3355a3e7</t>
  </si>
  <si>
    <t>c50cc84a-3600-689b-2a0f-9cdff0486922</t>
  </si>
  <si>
    <t>c607ea8b-a1b1-e78e-c6c4-fe7107a78de0</t>
  </si>
  <si>
    <t>c67c5cfd-a9a7-b888-f66e-53f547167682</t>
  </si>
  <si>
    <t>c68218ea-b274-2c2d-e47f-ee19cf89b575</t>
  </si>
  <si>
    <t>c6f8017f-a715-778c-65f1-fc5ac4f8ca66</t>
  </si>
  <si>
    <t>c70e9449-5346-bf6c-e72a-3f1000e8c006</t>
  </si>
  <si>
    <t>c73d8aa8-7f13-f516-5be1-a51b91adf671</t>
  </si>
  <si>
    <t>c74816b6-ecc6-4bfc-68c4-d694028880cb</t>
  </si>
  <si>
    <t>c7890bb1-6665-c00e-9357-da54561058fb</t>
  </si>
  <si>
    <t>c78fa4c0-aebf-04bc-6892-5f72563187f3</t>
  </si>
  <si>
    <t>c79595fe-72a0-a4a3-2fe4-abff38cd27d2</t>
  </si>
  <si>
    <t>c7bef0b3-8266-ae6a-a857-5899242ce468</t>
  </si>
  <si>
    <t>c82ffa6b-7eca-43c5-0cec-4ea77d2c94a1</t>
  </si>
  <si>
    <t>c8326c55-a63f-84ca-9d74-ca770af88708</t>
  </si>
  <si>
    <t>c84c327c-90f8-3e98-8209-a4c2d3c979bf</t>
  </si>
  <si>
    <t>c86557c6-78bf-4cfe-aa4d-c34e9497d2a5</t>
  </si>
  <si>
    <t>c880a461-c65c-63d1-6da3-121e7e761175</t>
  </si>
  <si>
    <t>c8961e4a-7d98-bc3d-a06d-f1ee64d19e09</t>
  </si>
  <si>
    <t>c8b1fc81-628b-90af-a07a-92962c20149e</t>
  </si>
  <si>
    <t>c8b6cd29-d710-f944-457a-4a3a364e156e</t>
  </si>
  <si>
    <t>c8f4ee16-9330-10aa-4ef6-4636445a7d37</t>
  </si>
  <si>
    <t>c939e412-246f-f677-163c-2999cafa2fbe</t>
  </si>
  <si>
    <t>c93b6326-89a8-01c7-a155-c23074d3177d</t>
  </si>
  <si>
    <t>c96ba85a-bbd5-82c3-d089-f3ee9beca1bc</t>
  </si>
  <si>
    <t>c9759694-2fc3-cb82-3f90-d3eaa3b75d84</t>
  </si>
  <si>
    <t>c9c55465-a5b3-0bdd-b8d3-64225fbf96de</t>
  </si>
  <si>
    <t>c9ea060f-925c-313f-9c0b-932308d8f09e</t>
  </si>
  <si>
    <t>ca006cb4-1d2c-08ce-b2d3-66bb6e9e9f5c</t>
  </si>
  <si>
    <t>ca541b04-bc0c-69d5-2bd7-6cea6d199be3</t>
  </si>
  <si>
    <t>ca564c31-a4ad-9388-e347-2d7552d8024c</t>
  </si>
  <si>
    <t>ca701255-ec63-3612-be32-0e3c78b37498</t>
  </si>
  <si>
    <t>ca96df09-f1f9-da46-d849-af703b685f3e</t>
  </si>
  <si>
    <t>ca9d61ad-0754-ca87-c7e5-c005d9bbddd1</t>
  </si>
  <si>
    <t>caa642f1-95a0-3719-4672-36d3600f8f25</t>
  </si>
  <si>
    <t>caaa0e50-da36-5c16-6e7c-6335359ee22c</t>
  </si>
  <si>
    <t>caaf3fa6-7766-1c43-d995-b0a66c0cb2d2</t>
  </si>
  <si>
    <t>cab98c54-6aed-038b-82c3-98b36b91235a</t>
  </si>
  <si>
    <t>cad1e260-2409-de1d-3488-cd3460eba61d</t>
  </si>
  <si>
    <t>cad28afa-96f5-e3dd-7795-c626c03869cb</t>
  </si>
  <si>
    <t>cadca018-c6fc-ec17-ea8a-981030132827</t>
  </si>
  <si>
    <t>cafd4cfd-ebf3-70be-9ef2-73be46f685a2</t>
  </si>
  <si>
    <t>cb111736-896c-46c6-096c-e6d2df385974</t>
  </si>
  <si>
    <t>cb27ae52-6df9-1c36-dbdb-1947e3215869</t>
  </si>
  <si>
    <t>cb380bec-a271-5cbe-4780-a07808b39207</t>
  </si>
  <si>
    <t>cb48dece-3b62-25ec-1fb3-244651f57547</t>
  </si>
  <si>
    <t>cb4ca05f-ebb8-2787-54a2-5e410af637da</t>
  </si>
  <si>
    <t>cb66b091-e2cc-eb5d-e59a-2048f52e793c</t>
  </si>
  <si>
    <t>cb6ff4c0-8cc0-dc49-7574-587899accb77</t>
  </si>
  <si>
    <t>cb932e18-1589-9de2-7459-72fbd1243bfb</t>
  </si>
  <si>
    <t>cb93a376-1471-3819-1e3c-84c9f07ba038</t>
  </si>
  <si>
    <t>cb9d3414-c8e4-1bc8-73eb-0bb424fba3c9</t>
  </si>
  <si>
    <t>cbab41eb-71ea-05dd-04f8-7cd61c44f1b3</t>
  </si>
  <si>
    <t>cc0f4a35-dd60-8dca-7616-6edd71ea63c3</t>
  </si>
  <si>
    <t>cc136a29-9999-1d73-b217-1ee6865e9210</t>
  </si>
  <si>
    <t>cc3a8413-692a-f431-c9de-020945e1c9d7</t>
  </si>
  <si>
    <t>cc3c67a3-2362-6973-83e2-f789248fc504</t>
  </si>
  <si>
    <t>cc3fb499-e7b7-82dc-0e75-6662843184e8</t>
  </si>
  <si>
    <t>cc79e85c-e920-2aa0-2805-b0af9ebf4354</t>
  </si>
  <si>
    <t>cc85d1a1-c73e-6b19-cd50-58a185e3df7e</t>
  </si>
  <si>
    <t>cc93f682-aabc-4daa-eac1-a09f46bb746d</t>
  </si>
  <si>
    <t>cc9ae4c0-40b7-afb3-7416-2df37cb5bdf0</t>
  </si>
  <si>
    <t>ccdb653c-49e7-b1b6-b4e5-441171b5ca58</t>
  </si>
  <si>
    <t>cce6b24a-dde0-1f78-2cca-9aff7f88be57</t>
  </si>
  <si>
    <t>cd0cc20e-a521-0d68-8d01-62af221a0c58</t>
  </si>
  <si>
    <t>cd10e639-7b09-27f5-9897-ab368a719168</t>
  </si>
  <si>
    <t>cd8e8e76-2017-67a4-f0e9-6c4cdb140d71</t>
  </si>
  <si>
    <t>cde514f8-7074-74e9-f7c4-f9ccb516d902</t>
  </si>
  <si>
    <t>cdfcd9af-2709-44e7-accd-8316d575b117</t>
  </si>
  <si>
    <t>ce826e89-11c9-f102-65fb-0d29f1f2bb4e</t>
  </si>
  <si>
    <t>ce8358a1-6096-703a-3860-33753ed38488</t>
  </si>
  <si>
    <t>ce8ca2fd-46d7-38e1-e1a2-b792b12ca0ca</t>
  </si>
  <si>
    <t>cea6bd80-3815-1ca9-02af-b6c61015965b</t>
  </si>
  <si>
    <t>ced26297-69b5-9644-95d1-3edbedf2ce1a</t>
  </si>
  <si>
    <t>cedf5c79-f94e-f997-488b-b43271948896</t>
  </si>
  <si>
    <t>cee3ebbe-1171-04cc-15d7-cc5f53ab5a76</t>
  </si>
  <si>
    <t>cf09b24f-5ba3-b3ed-c2b7-28699f72378a</t>
  </si>
  <si>
    <t>cf3645c2-057a-ba49-d28a-7f022976c467</t>
  </si>
  <si>
    <t>cf4d360a-6b29-13d9-68ae-1116503f4bc9</t>
  </si>
  <si>
    <t>cf5305a8-9d03-52bc-cdb3-169996859366</t>
  </si>
  <si>
    <t>cf6d8c48-2303-1a9f-6d72-af33df5c6746</t>
  </si>
  <si>
    <t>cf96c58b-b136-71bb-85c7-05c6156494e7</t>
  </si>
  <si>
    <t>cf9ca02a-7cb0-a2eb-fba4-04e3bcace288</t>
  </si>
  <si>
    <t>cfddc79e-b76f-d2f0-7afa-940c7c2b3117</t>
  </si>
  <si>
    <t>cfe16626-d0dd-584a-a249-a18f884bcc6f</t>
  </si>
  <si>
    <t>d018eaf3-10f1-093a-446e-b3885070b31c</t>
  </si>
  <si>
    <t>d0251298-eeaa-f303-53b6-79d9cd2b78c6</t>
  </si>
  <si>
    <t>d031a9b5-2ef5-923d-5224-c6dada851ec3</t>
  </si>
  <si>
    <t>d04faf15-933d-d054-fb73-a350fb84bf74</t>
  </si>
  <si>
    <t>d0671609-4121-466f-e020-7d68f244a2b0</t>
  </si>
  <si>
    <t>d06f4983-4c94-25dc-1306-fc9e3ca938b8</t>
  </si>
  <si>
    <t>d08fdc7f-3ea7-0497-e7eb-7962432a7784</t>
  </si>
  <si>
    <t>d0930353-81af-5d6a-59a3-571df4bd3f57</t>
  </si>
  <si>
    <t>d11d684e-3f12-6a58-d313-17ff2e9ae11e</t>
  </si>
  <si>
    <t>d1794aa9-0605-4818-8827-4e8eddb6adf4</t>
  </si>
  <si>
    <t>d1b07e1c-66e7-d756-a85f-f825557088ef</t>
  </si>
  <si>
    <t>d1c231c7-8ec7-b4d5-291f-318e9fd66da3</t>
  </si>
  <si>
    <t>d1ee3a71-6a27-4c29-b73c-df225747be15</t>
  </si>
  <si>
    <t>d2002d1f-c3de-3cd7-3675-a7afa4d8fb05</t>
  </si>
  <si>
    <t>d209bd67-9a89-0808-12c5-9cc4512fb12f</t>
  </si>
  <si>
    <t>d213b76d-993f-f3f5-04b2-5dfb8da6c415</t>
  </si>
  <si>
    <t>d2197311-2cbd-2994-1864-7aedd4d45afd</t>
  </si>
  <si>
    <t>d2438821-dcfd-ed7a-c065-2cb6548d3d30</t>
  </si>
  <si>
    <t>d24cd9d0-5eb9-1d7c-67ac-7ce488099a0d</t>
  </si>
  <si>
    <t>d26a414e-d23f-c040-54ca-31ebf58ebf29</t>
  </si>
  <si>
    <t>d274a471-2767-2e72-d15a-5c6b7e336f05</t>
  </si>
  <si>
    <t>d2b69625-7897-1cfd-8f40-c767620272b2</t>
  </si>
  <si>
    <t>d30235cc-d10f-9c2e-cac4-2130c589ce6b</t>
  </si>
  <si>
    <t>d30cc7a6-74a8-7ebd-0aab-b168b4a9caad</t>
  </si>
  <si>
    <t>d357afb2-5fcd-d3a4-f382-2c0a7a5df8e9</t>
  </si>
  <si>
    <t>d35a7602-bffe-8bc4-da87-615903190c7b</t>
  </si>
  <si>
    <t>d3a8b768-26a3-324e-d5c2-d3adc2cefd2e</t>
  </si>
  <si>
    <t>d3ac4922-e6ee-f742-d58a-89b476acfa86</t>
  </si>
  <si>
    <t>d3ad9b91-4918-d339-cae4-0aa5b3fd1555</t>
  </si>
  <si>
    <t>d3adbc67-0f8c-257c-c77e-7c29ad0a9f9d</t>
  </si>
  <si>
    <t>d3b39a71-058b-bdc1-f282-76c99aeb30c7</t>
  </si>
  <si>
    <t>d3f48aa7-c932-3dda-91cd-ec67cc8f4617</t>
  </si>
  <si>
    <t>d3f77a22-94bb-5999-deb4-45eb649b6e04</t>
  </si>
  <si>
    <t>d3f8fc1c-7b73-3edb-3567-3171f391555f</t>
  </si>
  <si>
    <t>d40e98a4-6185-83a6-4420-fe943f517c2c</t>
  </si>
  <si>
    <t>d4417598-8164-ac0d-6467-cbb89e22d467</t>
  </si>
  <si>
    <t>d464e05e-4a70-3eb4-81ce-e7b656115390</t>
  </si>
  <si>
    <t>d48f135d-5ff8-e222-b934-4db46616bb7f</t>
  </si>
  <si>
    <t>d4c72a4f-9e4a-5e5a-b9cc-074f7ed5b380</t>
  </si>
  <si>
    <t>d4fabd8f-4e63-0170-37c8-2952767f078d</t>
  </si>
  <si>
    <t>d507ff8c-7cbf-ff5e-39db-e1ae97cfcb6c</t>
  </si>
  <si>
    <t>d60a36cc-a2c6-8efe-3a6c-6a8f8afdcb20</t>
  </si>
  <si>
    <t>d6204dde-cbb0-617b-b683-2ef61e4c2b2a</t>
  </si>
  <si>
    <t>d63db28a-2f15-36a9-0d83-0d3be6b85f33</t>
  </si>
  <si>
    <t>d650bc37-512b-fc68-8df0-86c548999d3a</t>
  </si>
  <si>
    <t>d65f2231-4ef2-cb25-a809-49bcd6594c33</t>
  </si>
  <si>
    <t>d6804d58-d789-43ee-5f76-7cdd2c85c979</t>
  </si>
  <si>
    <t>d6b25a9e-be8d-8107-f7fe-e5752d61efbd</t>
  </si>
  <si>
    <t>d6c47782-b2b4-9305-4b5a-33df7e2b94f5</t>
  </si>
  <si>
    <t>d6ed421a-c011-85ee-ba1d-953369f8c5e5</t>
  </si>
  <si>
    <t>d71b1a35-c6b3-1c90-99c6-99c7e6e46f87</t>
  </si>
  <si>
    <t>d73e5699-8d09-f3b7-a3f4-09997ea2322d</t>
  </si>
  <si>
    <t>d7aab1ea-7bef-117b-6eda-e22e48143536</t>
  </si>
  <si>
    <t>d7db85b5-80f7-1343-de27-2eec51cff682</t>
  </si>
  <si>
    <t>d7e4c938-4319-945a-6d30-964ea12336b2</t>
  </si>
  <si>
    <t>d80f27f0-b029-29a8-e430-73ea3e8f01a7</t>
  </si>
  <si>
    <t>d83f7c11-0f41-a888-ceb4-9619b6dfd640</t>
  </si>
  <si>
    <t>d84da080-90d7-01ff-50b2-12e1749ec770</t>
  </si>
  <si>
    <t>d8ac7340-b39a-0c29-4534-a37da8bc3adc</t>
  </si>
  <si>
    <t>d8ccdb53-f069-3bab-0207-a13bc68f0903</t>
  </si>
  <si>
    <t>d8e148fe-f44d-ffcd-6d79-2140adde328a</t>
  </si>
  <si>
    <t>d9168182-1d30-e35d-ed53-d382c1726db6</t>
  </si>
  <si>
    <t>d93403a8-449d-ab30-ef54-043e61e76cc6</t>
  </si>
  <si>
    <t>d9528592-35f0-499d-fa9a-da0c30edd5d3</t>
  </si>
  <si>
    <t>d958e804-c067-973c-63a6-1c1b4b7e305d</t>
  </si>
  <si>
    <t>d96b7a01-70f2-a3b9-d85f-4b60f4431cca</t>
  </si>
  <si>
    <t>d9727550-6669-37f8-1697-6f91d70f0660</t>
  </si>
  <si>
    <t>d98a2909-09cd-8a44-4d13-992a68048021</t>
  </si>
  <si>
    <t>d9948e9e-595e-5017-3afd-1a1b6230520a</t>
  </si>
  <si>
    <t>d9b630fd-8e6c-0056-ed20-b937d342f286</t>
  </si>
  <si>
    <t>d9cc531e-2299-7248-d09b-36294ff6e4da</t>
  </si>
  <si>
    <t>d9cd5920-684c-b694-1e9e-18c536edeed4</t>
  </si>
  <si>
    <t>d9d028ea-b09c-7d11-62e8-fdb6da944ee5</t>
  </si>
  <si>
    <t>d9d4aaa6-9843-70a5-feb6-b39e70c377c1</t>
  </si>
  <si>
    <t>d9dc9602-1f76-bbf5-8109-aed5d876bdba</t>
  </si>
  <si>
    <t>d9dcfeff-031a-c431-9e23-5c5dc897a60a</t>
  </si>
  <si>
    <t>d9e0bb70-0724-fae0-6867-6ad00c41e73a</t>
  </si>
  <si>
    <t>d9ed512c-c108-4788-5a9a-00aac991ea47</t>
  </si>
  <si>
    <t>da0cffb9-e3ad-a51b-7402-5c9a088cdc00</t>
  </si>
  <si>
    <t>da3f0a38-9e65-e012-fb8f-41bf02c16d2c</t>
  </si>
  <si>
    <t>da585c1d-1d34-c1a2-1fb0-30492dcea3e2</t>
  </si>
  <si>
    <t>da5a72fe-527b-5480-247d-0d0c56efb024</t>
  </si>
  <si>
    <t>da7676c9-a900-d178-6c3d-a31238e70f72</t>
  </si>
  <si>
    <t>da9af899-641f-c16b-61b6-2e2c3616bb72</t>
  </si>
  <si>
    <t>daacbe47-ede4-d540-db43-4197925b01e1</t>
  </si>
  <si>
    <t>daaf40fe-5a18-d8ca-73c3-5b87a0e0ac12</t>
  </si>
  <si>
    <t>dab8a45d-79c5-5613-992b-e0dadc1b93d3</t>
  </si>
  <si>
    <t>dad720c0-f4b5-1d6b-8881-1348cd35fa60</t>
  </si>
  <si>
    <t>db0c8693-3089-0fb0-5cc4-1180c28579c0</t>
  </si>
  <si>
    <t>db0f3d82-afcf-1e86-3036-ee50e82f476c</t>
  </si>
  <si>
    <t>db78d385-a5e0-0d2e-6c4c-fb5a5a7fb52a</t>
  </si>
  <si>
    <t>db7c9ae1-9097-83a3-8d09-22b84b122748</t>
  </si>
  <si>
    <t>db8a4375-6ece-861e-8387-be9d5a2f6ffc</t>
  </si>
  <si>
    <t>dbb45146-28f1-b455-ab00-9a856d4fb48d</t>
  </si>
  <si>
    <t>dbb735fc-d7f6-c851-5705-39864146ca96</t>
  </si>
  <si>
    <t>dbcdc108-377f-ae65-5db3-0a4f131a6b5a</t>
  </si>
  <si>
    <t>dbdde473-b5fe-77c4-27b7-af3c8661f3c2</t>
  </si>
  <si>
    <t>dc936d66-115a-2261-d390-a4e1ebdc4dc8</t>
  </si>
  <si>
    <t>dccea061-9210-ad58-77a9-27fa0f7f4ee0</t>
  </si>
  <si>
    <t>dce29199-c1b9-e240-38af-58bef1155e65</t>
  </si>
  <si>
    <t>dcf8ab1b-090e-a686-18ae-f72edf044c58</t>
  </si>
  <si>
    <t>dd1d0576-37c6-51f4-4340-0f19392f81b4</t>
  </si>
  <si>
    <t>dd1d5c30-f330-a98f-ad38-8d50a9a33b65</t>
  </si>
  <si>
    <t>dd36f74e-b035-0276-3dbe-3a1f015498d5</t>
  </si>
  <si>
    <t>dd5a0eb8-a9ee-c6b0-e920-c7e9b3189456</t>
  </si>
  <si>
    <t>dd6adcf1-97f7-8d15-a727-966acd9991b3</t>
  </si>
  <si>
    <t>dd8d1022-d519-3cb6-f6ed-9f40cc1c5dab</t>
  </si>
  <si>
    <t>ddbe06e8-3b3d-31ce-458a-428df279d9e9</t>
  </si>
  <si>
    <t>ddeb5fc1-b721-f80f-298d-9ffcd89a8845</t>
  </si>
  <si>
    <t>de071817-8bd5-d76f-e77e-24468c037a16</t>
  </si>
  <si>
    <t>de15dca2-4897-25bb-278d-215175798d81</t>
  </si>
  <si>
    <t>de553df9-58a4-8206-669e-e28db9416ebc</t>
  </si>
  <si>
    <t>de84a263-6e62-3626-a106-0c5f776d56dd</t>
  </si>
  <si>
    <t>de9c424a-ee2f-af5c-6617-a29ca32d4573</t>
  </si>
  <si>
    <t>dedefd6a-2950-d08a-16f0-4feeb1796c0d</t>
  </si>
  <si>
    <t>df030b6b-36b7-471e-593a-69e49e44efc2</t>
  </si>
  <si>
    <t>df08f5f1-77b3-7fca-1ced-e38e998bc68e</t>
  </si>
  <si>
    <t>df54a1e7-26f4-c51c-4b41-109769b91c05</t>
  </si>
  <si>
    <t>df5bd2b0-8c76-9289-f1b7-3882d6ed4a4c</t>
  </si>
  <si>
    <t>df7ec405-a83c-37b5-a1cf-45d55ca5199a</t>
  </si>
  <si>
    <t>dfc6b609-0cb1-4672-eb32-e7283195aeaf</t>
  </si>
  <si>
    <t>dfcc524e-cef3-49d9-2f98-26bbad552e15</t>
  </si>
  <si>
    <t>dff04f71-1743-84b3-bec3-9435574ed559</t>
  </si>
  <si>
    <t>dffc3e9f-faf9-c69b-335d-9243ad5ea285</t>
  </si>
  <si>
    <t>e00c5ac9-d9ea-a8c3-1e2e-59f3d6314815</t>
  </si>
  <si>
    <t>e0453546-0715-bf22-43a2-4997851fac75</t>
  </si>
  <si>
    <t>e074f575-9b7e-5dd6-76f8-d74501f20c68</t>
  </si>
  <si>
    <t>e07aa79c-fcd6-f917-09c8-9c46a0dfe345</t>
  </si>
  <si>
    <t>e0d6470e-89c1-7573-246c-966d433effb4</t>
  </si>
  <si>
    <t>e0d972f8-823f-f933-1bb1-0ede7b0d4458</t>
  </si>
  <si>
    <t>e114f3f5-8aec-a4fd-4975-7402d86de384</t>
  </si>
  <si>
    <t>e1485d42-50a0-df07-22f2-b2d8f6f3744f</t>
  </si>
  <si>
    <t>e14a09ee-64c7-d4a0-6863-4cec68ad3a46</t>
  </si>
  <si>
    <t>e1889faa-c933-2ef3-5232-5af983d76148</t>
  </si>
  <si>
    <t>e1a00ef0-1018-0a2d-5198-48fe7a44d4b8</t>
  </si>
  <si>
    <t>e1b83564-49cf-f241-ccb8-18d1aa30019d</t>
  </si>
  <si>
    <t>e1d48091-cd9b-7694-8787-67bdd3929807</t>
  </si>
  <si>
    <t>e22bdae1-8b7a-7276-6c67-46e5ccd891f3</t>
  </si>
  <si>
    <t>e230a337-f38e-3eab-6e83-92bcd1fd453f</t>
  </si>
  <si>
    <t>e235759d-adbe-7ca1-6f5f-19b8c0ef3718</t>
  </si>
  <si>
    <t>e249784a-bd93-0daf-8f28-1032b89f875c</t>
  </si>
  <si>
    <t>e24c77f2-7ce9-19d2-3394-2f053f80269b</t>
  </si>
  <si>
    <t>e27888bc-7d6b-3811-f049-c443032a06c9</t>
  </si>
  <si>
    <t>e2d28ddb-c3b8-5e67-0d6e-259a870a6ed2</t>
  </si>
  <si>
    <t>e316adb5-c3e9-70ed-0a6f-3633f33e8e3c</t>
  </si>
  <si>
    <t>e3296610-5cd1-725c-a788-2e39e57ea2cb</t>
  </si>
  <si>
    <t>e3666cd7-8d01-44cc-6c39-6958b7ed79b9</t>
  </si>
  <si>
    <t>e3ae057b-6217-e8f5-732e-26d6da5a230c</t>
  </si>
  <si>
    <t>e3c51eed-49cd-5713-9db8-16f89f1a3b1c</t>
  </si>
  <si>
    <t>e3cce09c-be15-8a37-f3c2-c84008112559</t>
  </si>
  <si>
    <t>e42f166a-c50e-1047-da40-35e241d35186</t>
  </si>
  <si>
    <t>e445ba6c-7ef8-9285-6924-ece7b8841f89</t>
  </si>
  <si>
    <t>e44ee96c-2e1b-c3d4-8fc6-ca2669ec304f</t>
  </si>
  <si>
    <t>e47046a6-c2fa-8f5b-0646-96924facf378</t>
  </si>
  <si>
    <t>e47e63b4-122c-f43e-b2a1-2f8c73cdf3b1</t>
  </si>
  <si>
    <t>e47f232f-eb22-fc9f-747e-9727c40e212a</t>
  </si>
  <si>
    <t>e480ff6b-d557-33c2-bea5-405d17e16cbc</t>
  </si>
  <si>
    <t>e483166c-5645-06e1-1af7-11a66da47778</t>
  </si>
  <si>
    <t>e4836902-fa96-a047-5351-98005281677c</t>
  </si>
  <si>
    <t>e4bdf86a-fc10-5cc2-b545-c2077845b238</t>
  </si>
  <si>
    <t>e4e61c97-a7a8-a998-f64a-39906e1b5685</t>
  </si>
  <si>
    <t>e4ea60e8-7b5a-f104-dee1-02fb12e04bba</t>
  </si>
  <si>
    <t>e51e564b-bf88-a0ec-9878-8d7cd5e94b95</t>
  </si>
  <si>
    <t>e5ac6fb9-c8d1-da5e-ca21-9d7df685dfac</t>
  </si>
  <si>
    <t>e6039937-bbe8-78c6-d0a1-0a1a9874be18</t>
  </si>
  <si>
    <t>e63b840f-24b4-3f46-195d-5050c2768ebf</t>
  </si>
  <si>
    <t>e66d1a2f-4363-2cf4-443a-c959c8fe507c</t>
  </si>
  <si>
    <t>e6c80b45-0c7a-a31a-a82c-09188ae72b1e</t>
  </si>
  <si>
    <t>e6d35d2e-bb15-ed3d-feee-60e26aac613e</t>
  </si>
  <si>
    <t>e6de8011-eaaa-9661-b160-c79e0e61e908</t>
  </si>
  <si>
    <t>e719532a-6aa5-44a4-7d65-c4c3e2a07436</t>
  </si>
  <si>
    <t>e7512c67-7e67-61a9-cc58-3f26f9ca35c7</t>
  </si>
  <si>
    <t>e7df5e26-b275-7a0e-7fad-2f0ef4f80002</t>
  </si>
  <si>
    <t>e7ece1f0-ebe0-d455-1458-4115a79fd645</t>
  </si>
  <si>
    <t>e8b643d6-b9df-fea2-dfd4-fbe0a9de841a</t>
  </si>
  <si>
    <t>e8b81c9d-a31c-e281-e5ff-87124db75c73</t>
  </si>
  <si>
    <t>e9300010-39da-a73a-88a3-c807670a3364</t>
  </si>
  <si>
    <t>e9554863-d5ae-d3c6-e2e0-6757f2eaa292</t>
  </si>
  <si>
    <t>e988f3da-66a6-18a2-9c5b-b4b47da7c48d</t>
  </si>
  <si>
    <t>e9961593-ca1b-d04e-b8fa-3d0df9d1e8d8</t>
  </si>
  <si>
    <t>e9f0aedd-988e-3a00-92f2-339902a965bf</t>
  </si>
  <si>
    <t>e9ffd424-113b-191a-4cd4-a5c7eacdbbd3</t>
  </si>
  <si>
    <t>ea13d6c5-f624-bf04-f5d4-17168d18a7d9</t>
  </si>
  <si>
    <t>ea1bf15e-2f5b-6cff-ef5a-2300753c2e8a</t>
  </si>
  <si>
    <t>ea4775f2-7c07-7c77-3969-1f0c3cac8be0</t>
  </si>
  <si>
    <t>ea51988a-de0c-12ae-149a-be19d179ae78</t>
  </si>
  <si>
    <t>ea532a75-4a8d-61db-b90d-0d1ab0d8aea1</t>
  </si>
  <si>
    <t>ea68b291-ea91-b877-8a9d-120a37adb806</t>
  </si>
  <si>
    <t>ea7b29f2-5564-5f58-7c1e-99ae76487121</t>
  </si>
  <si>
    <t>eaaca598-9b7c-2601-cdb3-647500012e8f</t>
  </si>
  <si>
    <t>eab5134c-740b-01da-357f-5db090b46492</t>
  </si>
  <si>
    <t>ead0c26c-6b84-27a0-3ed1-1cf6a5ab9d3e</t>
  </si>
  <si>
    <t>ead1bf85-88e0-2a8d-8e6d-6ea71a6839cc</t>
  </si>
  <si>
    <t>eaf302be-6d52-dbbf-a7c6-53dcf9e2f977</t>
  </si>
  <si>
    <t>eb1dfd3b-183f-ab0e-5fb8-fb1cd9d9dcdd</t>
  </si>
  <si>
    <t>eb3fb04d-7c66-656f-9cc3-a5b378f44947</t>
  </si>
  <si>
    <t>eb4ac1fa-74bc-deed-2df3-49486d08ad25</t>
  </si>
  <si>
    <t>eb61d5c9-21e8-ad1b-9dd5-4a8b8b9a28d5</t>
  </si>
  <si>
    <t>eb63174c-09e8-d6e7-c9aa-a0114a45e750</t>
  </si>
  <si>
    <t>eb737753-61c2-ef6e-7dc8-d95ad49e29ac</t>
  </si>
  <si>
    <t>eb86f653-bdfb-69a9-729d-e5d5bfe5f914</t>
  </si>
  <si>
    <t>eb8a9c87-c838-e2c9-1d8e-76cdb397101c</t>
  </si>
  <si>
    <t>eba54a69-48a4-efd0-6057-bd3d53c24eee</t>
  </si>
  <si>
    <t>ebd1b2fe-c620-9316-5689-6119db660361</t>
  </si>
  <si>
    <t>ebe9b70e-3200-dece-1d7d-bd577cfbdcc6</t>
  </si>
  <si>
    <t>ebef4b91-2416-2072-c70f-3eb9dc5573a3</t>
  </si>
  <si>
    <t>ec09b388-e03f-977b-395b-1c6d0449e90d</t>
  </si>
  <si>
    <t>ec16867c-b961-19a9-b7e2-7bc8eca28ec0</t>
  </si>
  <si>
    <t>ec1d3637-f7c6-5a4f-5ba2-34154714bb5c</t>
  </si>
  <si>
    <t>ec4c9f8c-1c12-bdd9-2101-63b30dfff674</t>
  </si>
  <si>
    <t>ec53de3a-3f9c-a69e-3e02-351b740c424c</t>
  </si>
  <si>
    <t>ec8f4bef-4670-6570-7db8-b62a524cf0b7</t>
  </si>
  <si>
    <t>ec9bd018-0820-06e2-f1a2-cc6e852084d5</t>
  </si>
  <si>
    <t>eca80652-36db-e0ed-28e6-6a3dc3c51db3</t>
  </si>
  <si>
    <t>ecda2594-ec35-bb39-775d-75acbe11abb1</t>
  </si>
  <si>
    <t>ece90210-0c0d-8dc2-99bf-41dc1cd5e4ce</t>
  </si>
  <si>
    <t>ece94269-bb82-aeaa-8236-6ee1b64802a8</t>
  </si>
  <si>
    <t>eceee2a2-196e-9bd9-131d-85dee6c19f5f</t>
  </si>
  <si>
    <t>ed01b48c-c097-0646-7bb0-6f5c5d297723</t>
  </si>
  <si>
    <t>ed12414d-863d-6b13-8d3b-8a84e7655085</t>
  </si>
  <si>
    <t>ed1e474d-67c9-9861-8289-7a823f3fa319</t>
  </si>
  <si>
    <t>ed62e1ce-893f-8aca-50c8-0d363edf6e2a</t>
  </si>
  <si>
    <t>ed8f4591-705b-dbb9-6560-0dfaa305c391</t>
  </si>
  <si>
    <t>edab3439-49e8-566e-7202-90caab776972</t>
  </si>
  <si>
    <t>edc08d90-cb06-7d0a-84a2-f310ef3be096</t>
  </si>
  <si>
    <t>eddfb2b4-ea44-750e-eb1e-b710e3f57b8f</t>
  </si>
  <si>
    <t>ee39f10b-b320-36af-5e75-8cd8ac791224</t>
  </si>
  <si>
    <t>ee94dbd6-795f-96b2-9143-661b5f69e7b8</t>
  </si>
  <si>
    <t>ee99a5b9-e68f-de80-8b87-d1435b3b3ef9</t>
  </si>
  <si>
    <t>eef1793a-a562-ba66-03c9-cb4ef3546553</t>
  </si>
  <si>
    <t>eef73cd4-26a0-75bd-609f-2e3186941e24</t>
  </si>
  <si>
    <t>ef304b43-b4d4-05a6-78be-c0ebc4925443</t>
  </si>
  <si>
    <t>ef3981d2-4546-cbeb-6c7a-85f8f865dfc2</t>
  </si>
  <si>
    <t>ef3f9726-1ecd-0236-f268-d5394a94b5d1</t>
  </si>
  <si>
    <t>ef5a77d2-b1b7-cff7-6d81-ed138068b5d2</t>
  </si>
  <si>
    <t>ef8117b2-bd3c-6979-707a-ea3af91ec56e</t>
  </si>
  <si>
    <t>efa61d6e-1e3a-08fe-c054-f77cf2e66d05</t>
  </si>
  <si>
    <t>efb0164b-c1d0-dda6-971d-b118d819f167</t>
  </si>
  <si>
    <t>efc89941-2ce6-8d53-ac94-07e8d12f5a93</t>
  </si>
  <si>
    <t>effb7a72-0b5b-a510-a531-95d5cf6a7424</t>
  </si>
  <si>
    <t>f02c7b78-1d33-7157-e8b4-94d63a5d773d</t>
  </si>
  <si>
    <t>f055b2c5-fce5-1efe-db3b-e72a9c60afea</t>
  </si>
  <si>
    <t>f08f9a53-aa44-eb5c-684c-fd29b8a6037d</t>
  </si>
  <si>
    <t>f0b61d09-8e33-4222-9c5a-ca0fd9e1f379</t>
  </si>
  <si>
    <t>f17eb9bb-d346-0741-8aae-d476aebde02b</t>
  </si>
  <si>
    <t>f1ad0c29-f2ef-ab81-cb66-b5eeee9b5174</t>
  </si>
  <si>
    <t>f22e710e-3f6a-dc2f-5a94-b501c3a5f259</t>
  </si>
  <si>
    <t>f243cc71-d0bc-6a88-9180-8a423ba4a3df</t>
  </si>
  <si>
    <t>f25563f7-ae6c-46e0-7a13-0c2c4bcd8bcc</t>
  </si>
  <si>
    <t>f261853b-4e02-6bf1-dd5d-c1cc95c434ba</t>
  </si>
  <si>
    <t>f26bd5f4-e801-78d9-a273-17f70cfe35b0</t>
  </si>
  <si>
    <t>f273fb0f-8baf-9913-3f28-6d86b08026f4</t>
  </si>
  <si>
    <t>f2740e06-c477-30c3-19cf-41cac21b4634</t>
  </si>
  <si>
    <t>f274140b-bedb-96d4-f44e-5c814842208d</t>
  </si>
  <si>
    <t>f284177c-792d-c708-3bf3-cb7e537ef714</t>
  </si>
  <si>
    <t>f2a87a00-b249-4410-58fe-5874d112ccf4</t>
  </si>
  <si>
    <t>f2b911b2-dacd-7539-5c6a-9c6b26f53664</t>
  </si>
  <si>
    <t>f2c4a045-6bfc-a983-35d9-863e3464ff03</t>
  </si>
  <si>
    <t>f331630e-0ffa-f7bf-a07e-5ffe52a65386</t>
  </si>
  <si>
    <t>f352b378-c882-161d-b085-b63e731810f9</t>
  </si>
  <si>
    <t>f36bd249-6632-53af-9cb3-e8e8486612a1</t>
  </si>
  <si>
    <t>f3b78b4c-f113-fe65-0206-4efaaebffefc</t>
  </si>
  <si>
    <t>f3bd40da-c286-b186-7918-8228874d0514</t>
  </si>
  <si>
    <t>f3f39030-8644-8e73-3f00-2cf462f3ad47</t>
  </si>
  <si>
    <t>f40982e1-8ca4-13f8-eb9b-4b348ed8e1fa</t>
  </si>
  <si>
    <t>f4171799-269a-4575-ab0b-b7baebfc6a5b</t>
  </si>
  <si>
    <t>f42a5eb8-fef4-01a9-4248-f15878ac7dd6</t>
  </si>
  <si>
    <t>f453e7d0-b87c-fff4-68e7-8b8f175851bc</t>
  </si>
  <si>
    <t>f46e8fb9-5d7b-3ee7-1ff0-e106f17da813</t>
  </si>
  <si>
    <t>f4720417-6944-23a6-6dd1-6fde44817e4d</t>
  </si>
  <si>
    <t>f47f84af-71de-130a-d093-7db2fa6cb08f</t>
  </si>
  <si>
    <t>f4b4d577-f8fc-4e92-90c4-ab7749971c2a</t>
  </si>
  <si>
    <t>f54804d1-bda0-e53e-6a99-a068cd13304a</t>
  </si>
  <si>
    <t>f5578e6c-c80b-8a89-f955-2de0baeaa687</t>
  </si>
  <si>
    <t>f5648172-ca1e-142d-40a5-4ef9f6c2ef37</t>
  </si>
  <si>
    <t>f582d980-0e17-c97b-86f0-f092b1dfbd08</t>
  </si>
  <si>
    <t>f59e24a1-98f2-dab9-8ac7-44680a553578</t>
  </si>
  <si>
    <t>f5e48d3a-a6ec-96d7-f535-9ff6a38f363f</t>
  </si>
  <si>
    <t>f62989fa-0878-9fed-dbf4-7e37122ed306</t>
  </si>
  <si>
    <t>f62b6b27-6461-a03f-74b9-532e204959ff</t>
  </si>
  <si>
    <t>f6432922-7286-bd93-6334-67f8c9a9a48c</t>
  </si>
  <si>
    <t>f65918b4-ad96-138b-c919-4e453372a686</t>
  </si>
  <si>
    <t>f65f6df7-51d1-2c64-5758-4430ccd152d5</t>
  </si>
  <si>
    <t>f6c6de50-b4a0-49f2-3d9f-e3855c9c6409</t>
  </si>
  <si>
    <t>f6d2377b-deb1-c62c-2a95-908848428c22</t>
  </si>
  <si>
    <t>f6f864c9-edcb-a174-29cd-9af195d643a3</t>
  </si>
  <si>
    <t>f7167931-c6f3-7d1d-16df-d229348c56ba</t>
  </si>
  <si>
    <t>f74575dc-6f4f-b46d-00be-d197d1792cc5</t>
  </si>
  <si>
    <t>f74cd58b-a664-f3fb-3eaa-b8a366e8b648</t>
  </si>
  <si>
    <t>f75bb150-c52c-3c91-6db1-be793c4d92d9</t>
  </si>
  <si>
    <t>f7b1f9ec-2c5d-6702-cdf8-a4c6618fcf4e</t>
  </si>
  <si>
    <t>f7c17c94-ff29-90ba-470d-f0f4973c7845</t>
  </si>
  <si>
    <t>f7f201bf-583e-0858-6d60-864fae9a6d65</t>
  </si>
  <si>
    <t>f85c5bb2-25dc-6f22-c5dc-8009d2e95f05</t>
  </si>
  <si>
    <t>f87c4cec-17c5-b625-c0e9-ff817f79ebc5</t>
  </si>
  <si>
    <t>f898d3b4-a5f3-4666-ec12-e12201733761</t>
  </si>
  <si>
    <t>f8bd43ef-b77b-a761-1f6a-351a49197f50</t>
  </si>
  <si>
    <t>f90401b3-5ef4-17a0-9207-2e9749180ff7</t>
  </si>
  <si>
    <t>f90acf66-77e6-ae39-4cde-71ad017d71fe</t>
  </si>
  <si>
    <t>f91267f3-efd5-7558-c9a5-16030105891b</t>
  </si>
  <si>
    <t>f92ac414-57ae-4ecf-10b9-18f0cbe14c18</t>
  </si>
  <si>
    <t>f934f764-a483-8a83-77ea-7741292e65c8</t>
  </si>
  <si>
    <t>f939a314-0aaa-a60e-8317-023a3c79fd4d</t>
  </si>
  <si>
    <t>f978bb2c-72e9-93e4-e82b-052256f19465</t>
  </si>
  <si>
    <t>f9844c0e-c7f2-9555-5dc8-d16b3d558a94</t>
  </si>
  <si>
    <t>f985918b-f0d1-f846-0264-b07a47c40d80</t>
  </si>
  <si>
    <t>f99092a5-38d0-34d2-6c56-e46b5f78e88a</t>
  </si>
  <si>
    <t>f9a7f1ff-c734-c20f-1ddf-ea4a07a37f41</t>
  </si>
  <si>
    <t>f9ac0522-8e12-3bfa-3b6b-1e7c02629fbd</t>
  </si>
  <si>
    <t>f9e05dec-8f72-a142-decc-ac55d29e9d4c</t>
  </si>
  <si>
    <t>f9fe745f-cc66-9abb-e147-ad4a9b1fbaa2</t>
  </si>
  <si>
    <t>fa1c5ba5-02e5-1aa1-0664-24695b2db1d1</t>
  </si>
  <si>
    <t>fa306819-7cc8-3581-dd9e-2cb4bc427abf</t>
  </si>
  <si>
    <t>fa553dab-9842-6788-6909-04f263bb5ceb</t>
  </si>
  <si>
    <t>fa571749-f614-ab1a-d86d-49d646741a62</t>
  </si>
  <si>
    <t>fa6612ec-46c1-9100-a171-77c0e6a89377</t>
  </si>
  <si>
    <t>fa6d449b-ccce-b0dd-045b-47e4e3865f64</t>
  </si>
  <si>
    <t>fa767ae1-529d-ebfd-6872-5678d41cbe0b</t>
  </si>
  <si>
    <t>fa7ae101-8496-a636-6be2-8bb8136e2b7b</t>
  </si>
  <si>
    <t>fa9083fc-6b07-2f03-4b52-6316d8170fbd</t>
  </si>
  <si>
    <t>fa94c58e-d05e-c9b4-37d6-7a162b0c1056</t>
  </si>
  <si>
    <t>faa4ed5a-9bfd-57fe-68a6-79d1377522b5</t>
  </si>
  <si>
    <t>faca90b2-c05a-1691-be40-df32831ce5d3</t>
  </si>
  <si>
    <t>fafe5647-8fd2-4bb4-24d4-cc2ed67d839a</t>
  </si>
  <si>
    <t>fb30498c-ea5d-fa99-d49e-0b8520a63caf</t>
  </si>
  <si>
    <t>fb3cb405-1129-7f68-426e-e47f5a866c21</t>
  </si>
  <si>
    <t>fb3f4be4-4997-9210-4266-e1dffbbaaa81</t>
  </si>
  <si>
    <t>fb811477-e8db-e615-34a0-bdd26ffaf50b</t>
  </si>
  <si>
    <t>fb9f011b-d856-4a4e-de11-80380fd7cf22</t>
  </si>
  <si>
    <t>fba39981-c65a-dfb6-0eac-ec9a7424e3ad</t>
  </si>
  <si>
    <t>fbaff6ad-6a51-5de3-8064-4711510461a7</t>
  </si>
  <si>
    <t>fc2841da-fe80-8295-58ff-894747c926eb</t>
  </si>
  <si>
    <t>fc782fc5-2376-6a9b-5dda-9d18fb5a4ccf</t>
  </si>
  <si>
    <t>fc7ca08d-96ad-73a3-db6c-daa5d8407d37</t>
  </si>
  <si>
    <t>fc851608-8234-2ae0-2ee3-577b0fe60c6c</t>
  </si>
  <si>
    <t>fc894a5e-c3a3-441f-9327-87f70c7d530d</t>
  </si>
  <si>
    <t>fd16febe-6461-56e9-5f5e-1763605cdb4c</t>
  </si>
  <si>
    <t>fd53ffc5-8018-e498-f8fb-0957f61a3696</t>
  </si>
  <si>
    <t>fd645adf-f8ac-7847-b1b7-d6eb73f925f3</t>
  </si>
  <si>
    <t>fd691004-5a9a-9668-af87-3180c32fb8aa</t>
  </si>
  <si>
    <t>fd69aa80-52b9-793d-339f-18184cb95137</t>
  </si>
  <si>
    <t>fd6b6023-ff6e-1790-a18b-356e5c169fe8</t>
  </si>
  <si>
    <t>fdaaa516-b18f-d7e8-20f2-e3c6729c6133</t>
  </si>
  <si>
    <t>fdc76ec3-fe5b-e8fe-4f75-25a7731fe0ec</t>
  </si>
  <si>
    <t>fdc867a6-26b8-0037-e82d-79fbf2c520fc</t>
  </si>
  <si>
    <t>fdd83958-5b59-2bd4-d353-63643edb514d</t>
  </si>
  <si>
    <t>fde8ef36-08b7-1c42-c813-1fc3ca634f0b</t>
  </si>
  <si>
    <t>fdf5c81a-795a-75d2-e1bb-051f2ac915a8</t>
  </si>
  <si>
    <t>fe0c68cf-6bc8-3acf-d1a6-ff438bd5dca4</t>
  </si>
  <si>
    <t>fe8f575d-a601-fee9-5211-d78094a9900f</t>
  </si>
  <si>
    <t>feb7f055-ced6-19ce-6e9c-6c69087a288a</t>
  </si>
  <si>
    <t>fed75593-94ae-b12a-3d9b-588232c84707</t>
  </si>
  <si>
    <t>fed8703c-1954-c26e-4f65-e8187720ea0c</t>
  </si>
  <si>
    <t>fee345ee-6443-ac87-01c9-23476df0457e</t>
  </si>
  <si>
    <t>fee7e95c-05fe-6bdc-da24-39ea1ceb4247</t>
  </si>
  <si>
    <t>fef57cc7-0192-e589-80c6-c8ab230d6e0a</t>
  </si>
  <si>
    <t>ff2603d7-b6ba-ec75-0fd3-ae91a882dfce</t>
  </si>
  <si>
    <t>ff3073f2-7234-c4f7-e646-f8287a587d0e</t>
  </si>
  <si>
    <t>ff4e054d-1ca9-98df-5b19-83f33ef7d710</t>
  </si>
  <si>
    <t>ff59039d-ef18-03d2-ac76-0f3c54c01e35</t>
  </si>
  <si>
    <t>ff71dfb0-fa66-fd51-f300-3efd7ce6d392</t>
  </si>
  <si>
    <t>ff945784-514c-d982-c42e-d3619efc7fc9</t>
  </si>
  <si>
    <t>ffa9a172-74c6-2a14-b72a-5544f7cd14ae</t>
  </si>
  <si>
    <t>Row Labels</t>
  </si>
  <si>
    <t>Grand Total</t>
  </si>
  <si>
    <t>18-27</t>
  </si>
  <si>
    <t>28-37</t>
  </si>
  <si>
    <t>38-47</t>
  </si>
  <si>
    <t>48-57</t>
  </si>
  <si>
    <t>58-67</t>
  </si>
  <si>
    <t>Average of final_loaded_premium_rm</t>
  </si>
  <si>
    <t>Column1</t>
  </si>
  <si>
    <t>Count of is_smoker</t>
  </si>
  <si>
    <t>Total Patients</t>
  </si>
  <si>
    <t>Smokers</t>
  </si>
  <si>
    <t>Non Smoker</t>
  </si>
  <si>
    <t>non-smoker</t>
  </si>
  <si>
    <t>smoker</t>
  </si>
  <si>
    <t>Finance, Business Services,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</si>
</sst>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2" fontId="0" fillId="0" borderId="0" xfId="0" applyNumberFormat="1"/>
    <xf numFmtId="0" fontId="16" fillId="33" borderId="14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6" fillId="33" borderId="11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center"/>
    </xf>
    <xf numFmtId="0" fontId="18" fillId="34" borderId="13" xfId="1" applyNumberFormat="1" applyFont="1" applyFill="1" applyBorder="1" applyAlignment="1">
      <alignment horizontal="center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[member_level_pricing_output.xlsx]Pivot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 i="0" u="none" strike="noStrike" cap="none" normalizeH="0" baseline="0"/>
              <a:t>Risk-Adjusted Premium by </a:t>
            </a:r>
          </a:p>
          <a:p>
            <a:pPr>
              <a:defRPr sz="1400" b="1"/>
            </a:pPr>
            <a:r>
              <a:rPr lang="en-US" sz="1400" b="1" i="0" u="none" strike="noStrike" cap="none" normalizeH="0" baseline="0"/>
              <a:t>Age Bracket (RM)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20000"/>
              <a:lumOff val="8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30066796143789E-2"/>
          <c:y val="0.12747689147552208"/>
          <c:w val="0.83095983699934262"/>
          <c:h val="0.729273732087836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tables'!$A$4:$A$9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</c:strCache>
            </c:strRef>
          </c:cat>
          <c:val>
            <c:numRef>
              <c:f>'Pivot tables'!$B$4:$B$9</c:f>
              <c:numCache>
                <c:formatCode>0.00</c:formatCode>
                <c:ptCount val="5"/>
                <c:pt idx="0">
                  <c:v>1998.7585178861636</c:v>
                </c:pt>
                <c:pt idx="1">
                  <c:v>1973.7631979655309</c:v>
                </c:pt>
                <c:pt idx="2">
                  <c:v>1651.7575352357881</c:v>
                </c:pt>
                <c:pt idx="3">
                  <c:v>1714.4011523675756</c:v>
                </c:pt>
                <c:pt idx="4">
                  <c:v>1578.5353539420564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E-4BC2-9460-611E0647BE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00178656"/>
        <c:axId val="1451430192"/>
      </c:barChart>
      <c:catAx>
        <c:axId val="100178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430192"/>
        <c:crosses val="autoZero"/>
        <c:auto val="1"/>
        <c:lblAlgn val="ctr"/>
        <c:lblOffset val="100"/>
        <c:noMultiLvlLbl val="0"/>
      </c:catAx>
      <c:valAx>
        <c:axId val="14514301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b="1">
                  <a:ln>
                    <a:noFill/>
                  </a:ln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crossAx val="10017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[member_level_pricing_output.xlsx]Pivot tables!PivotTable2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Risk-Adjusted Premium by </a:t>
            </a:r>
          </a:p>
          <a:p>
            <a:pPr>
              <a:defRPr sz="14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Gender(RM)</a:t>
            </a:r>
          </a:p>
          <a:p>
            <a:pPr>
              <a:defRPr sz="14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endParaRPr lang="en-US" sz="1400" b="1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20000"/>
              <a:lumOff val="8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20000"/>
              <a:lumOff val="80000"/>
              <a:alpha val="7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630066796143789E-2"/>
          <c:y val="0.23321716583010205"/>
          <c:w val="0.83095983699934262"/>
          <c:h val="0.623533633069280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20000"/>
                  <a:lumOff val="8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353-47FA-90BA-0A4BB551B5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tables'!$A$13:$A$15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'Pivot tables'!$B$13:$B$15</c:f>
              <c:numCache>
                <c:formatCode>0.00</c:formatCode>
                <c:ptCount val="2"/>
                <c:pt idx="0">
                  <c:v>2589.5566380951896</c:v>
                </c:pt>
                <c:pt idx="1">
                  <c:v>939.05643275240197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53-47FA-90BA-0A4BB551B5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00178656"/>
        <c:axId val="1451430192"/>
      </c:barChart>
      <c:catAx>
        <c:axId val="100178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430192"/>
        <c:crosses val="autoZero"/>
        <c:auto val="1"/>
        <c:lblAlgn val="ctr"/>
        <c:lblOffset val="100"/>
        <c:noMultiLvlLbl val="0"/>
      </c:catAx>
      <c:valAx>
        <c:axId val="14514301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b="1">
                  <a:ln>
                    <a:noFill/>
                  </a:ln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crossAx val="100178656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[member_level_pricing_output.xlsx]Pivot tables!PivotTable12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Risk-Adjusted Premium by Smoker (RM)</a:t>
            </a:r>
          </a:p>
          <a:p>
            <a:pPr>
              <a:defRPr sz="14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endParaRPr lang="en-US" sz="1400" b="1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20000"/>
              <a:lumOff val="8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20000"/>
              <a:lumOff val="80000"/>
              <a:alpha val="7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20000"/>
              <a:lumOff val="8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20000"/>
              <a:lumOff val="80000"/>
              <a:alpha val="7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20000"/>
              <a:lumOff val="8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20000"/>
              <a:lumOff val="80000"/>
              <a:alpha val="7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bg1">
              <a:lumMod val="85000"/>
              <a:alpha val="70000"/>
            </a:schemeClr>
          </a:solidFill>
          <a:ln>
            <a:solidFill>
              <a:schemeClr val="tx2">
                <a:lumMod val="10000"/>
                <a:lumOff val="9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2">
              <a:lumMod val="50000"/>
              <a:alpha val="7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tx2">
              <a:lumMod val="10000"/>
              <a:lumOff val="90000"/>
              <a:alpha val="70000"/>
            </a:schemeClr>
          </a:solidFill>
          <a:ln>
            <a:noFill/>
          </a:ln>
          <a:effectLst/>
        </c:spPr>
      </c:pivotFmt>
      <c:pivotFmt>
        <c:idx val="12"/>
      </c:pivotFmt>
      <c:pivotFmt>
        <c:idx val="13"/>
        <c:spPr>
          <a:solidFill>
            <a:schemeClr val="tx1">
              <a:lumMod val="75000"/>
              <a:lumOff val="25000"/>
              <a:alpha val="70000"/>
            </a:schemeClr>
          </a:solidFill>
          <a:ln>
            <a:solidFill>
              <a:schemeClr val="tx2">
                <a:lumMod val="10000"/>
                <a:lumOff val="90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630066796143789E-2"/>
          <c:y val="0.31537697312483826"/>
          <c:w val="0.83573539697222676"/>
          <c:h val="0.541374163616871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85000"/>
                <a:alpha val="70000"/>
              </a:schemeClr>
            </a:solidFill>
            <a:ln>
              <a:solidFill>
                <a:schemeClr val="tx2">
                  <a:lumMod val="10000"/>
                  <a:lumOff val="9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1">
                  <a:lumMod val="75000"/>
                  <a:lumOff val="25000"/>
                  <a:alpha val="70000"/>
                </a:schemeClr>
              </a:solidFill>
              <a:ln>
                <a:solidFill>
                  <a:schemeClr val="tx2">
                    <a:lumMod val="10000"/>
                    <a:lumOff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934-4C99-9D91-D813390883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tables'!$A$25:$A$27</c:f>
              <c:strCache>
                <c:ptCount val="2"/>
                <c:pt idx="0">
                  <c:v>non-smoker</c:v>
                </c:pt>
                <c:pt idx="1">
                  <c:v>smoker</c:v>
                </c:pt>
              </c:strCache>
            </c:strRef>
          </c:cat>
          <c:val>
            <c:numRef>
              <c:f>'Pivot tables'!$B$25:$B$27</c:f>
              <c:numCache>
                <c:formatCode>0.00</c:formatCode>
                <c:ptCount val="2"/>
                <c:pt idx="0">
                  <c:v>1787.1927299637173</c:v>
                </c:pt>
                <c:pt idx="1">
                  <c:v>2333.351645510721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34-4C99-9D91-D813390883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00178656"/>
        <c:axId val="1451430192"/>
      </c:barChart>
      <c:catAx>
        <c:axId val="100178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430192"/>
        <c:crosses val="autoZero"/>
        <c:auto val="1"/>
        <c:lblAlgn val="ctr"/>
        <c:lblOffset val="100"/>
        <c:noMultiLvlLbl val="0"/>
      </c:catAx>
      <c:valAx>
        <c:axId val="14514301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b="1">
                  <a:ln>
                    <a:noFill/>
                  </a:ln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crossAx val="100178656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[member_level_pricing_output.xlsx]Pivot tables!PivotTable9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Risk-Adjusted Premium by </a:t>
            </a:r>
          </a:p>
          <a:p>
            <a:pPr>
              <a:defRPr/>
            </a:pPr>
            <a:r>
              <a:rPr lang="en-US" sz="1400" b="1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Industries (RM)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99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365996888206797"/>
          <c:y val="0.14971614813756307"/>
          <c:w val="0.77083590578629013"/>
          <c:h val="0.757250678290802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tables'!$A$31:$A$41</c:f>
              <c:strCache>
                <c:ptCount val="10"/>
                <c:pt idx="0">
                  <c:v>Hotels and Restaurants</c:v>
                </c:pt>
                <c:pt idx="1">
                  <c:v>Services</c:v>
                </c:pt>
                <c:pt idx="2">
                  <c:v>Wholesale and Retail Trades</c:v>
                </c:pt>
                <c:pt idx="3">
                  <c:v>Agriculture, Forestry and Fishing</c:v>
                </c:pt>
                <c:pt idx="4">
                  <c:v>Utilities</c:v>
                </c:pt>
                <c:pt idx="5">
                  <c:v>Mining and Quarrying</c:v>
                </c:pt>
                <c:pt idx="6">
                  <c:v>Transport, Storage and Communication</c:v>
                </c:pt>
                <c:pt idx="7">
                  <c:v>Finance, Business Services, etc</c:v>
                </c:pt>
                <c:pt idx="8">
                  <c:v>Manufacturing</c:v>
                </c:pt>
                <c:pt idx="9">
                  <c:v>Construction</c:v>
                </c:pt>
              </c:strCache>
            </c:strRef>
          </c:cat>
          <c:val>
            <c:numRef>
              <c:f>'Pivot tables'!$B$31:$B$41</c:f>
              <c:numCache>
                <c:formatCode>0.00</c:formatCode>
                <c:ptCount val="10"/>
                <c:pt idx="0">
                  <c:v>381.87673001430443</c:v>
                </c:pt>
                <c:pt idx="1">
                  <c:v>892.35836306951001</c:v>
                </c:pt>
                <c:pt idx="2">
                  <c:v>1024.5872343965677</c:v>
                </c:pt>
                <c:pt idx="3">
                  <c:v>1227.7041388360708</c:v>
                </c:pt>
                <c:pt idx="4">
                  <c:v>1994.4588434472398</c:v>
                </c:pt>
                <c:pt idx="5">
                  <c:v>2105.0041105681526</c:v>
                </c:pt>
                <c:pt idx="6">
                  <c:v>2206.6489700400621</c:v>
                </c:pt>
                <c:pt idx="7">
                  <c:v>2250.0693119857724</c:v>
                </c:pt>
                <c:pt idx="8">
                  <c:v>2885.7909540894393</c:v>
                </c:pt>
                <c:pt idx="9">
                  <c:v>3197.5184827559915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A-4235-949C-C48CE0EA5D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6168064"/>
        <c:axId val="471651952"/>
      </c:barChart>
      <c:catAx>
        <c:axId val="4861680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651952"/>
        <c:crosses val="autoZero"/>
        <c:auto val="1"/>
        <c:lblAlgn val="ctr"/>
        <c:lblOffset val="100"/>
        <c:noMultiLvlLbl val="0"/>
      </c:catAx>
      <c:valAx>
        <c:axId val="47165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6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3810</xdr:rowOff>
    </xdr:from>
    <xdr:to>
      <xdr:col>11</xdr:col>
      <xdr:colOff>739140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9B217D-F026-51ED-83BC-B97302814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161365</xdr:colOff>
      <xdr:row>2</xdr:row>
      <xdr:rowOff>13895</xdr:rowOff>
    </xdr:from>
    <xdr:to>
      <xdr:col>20</xdr:col>
      <xdr:colOff>1</xdr:colOff>
      <xdr:row>18</xdr:row>
      <xdr:rowOff>161364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84A30A-5503-495C-2272-6EA7B1557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15240</xdr:colOff>
      <xdr:row>5</xdr:row>
      <xdr:rowOff>22860</xdr:rowOff>
    </xdr:from>
    <xdr:to>
      <xdr:col>15</xdr:col>
      <xdr:colOff>1242060</xdr:colOff>
      <xdr:row>19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A9E66A-18A4-C736-672F-F4DDC9878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13419</xdr:colOff>
      <xdr:row>20</xdr:row>
      <xdr:rowOff>10885</xdr:rowOff>
    </xdr:from>
    <xdr:to>
      <xdr:col>19</xdr:col>
      <xdr:colOff>729343</xdr:colOff>
      <xdr:row>38</xdr:row>
      <xdr:rowOff>163285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AF173A5-25A7-185E-A82C-29AB247A0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64.873531018522" createdVersion="8" refreshedVersion="8" minRefreshableVersion="3" recordCount="1919" xr:uid="{A1C5FF1D-C7D7-4358-BB47-8A7E1CAB3936}">
  <cacheSource type="worksheet">
    <worksheetSource name="Table1"/>
  </cacheSource>
  <cacheFields count="8">
    <cacheField name="patient_id" numFmtId="0">
      <sharedItems/>
    </cacheField>
    <cacheField name="Company_ID" numFmtId="0">
      <sharedItems count="51">
        <s v="COMP_0005"/>
        <s v="COMP_0048"/>
        <s v="COMP_0021"/>
        <s v="COMP_0006"/>
        <s v="COMP_0029"/>
        <s v="COMP_0028"/>
        <s v="COMP_0024"/>
        <s v="COMP_0017"/>
        <s v="COMP_0013"/>
        <s v="COMP_0043"/>
        <s v="COMP_0034"/>
        <s v="COMP_0008"/>
        <s v="COMP_0027"/>
        <s v="COMP_0038"/>
        <s v="COMP_0009"/>
        <s v="COMP_0001"/>
        <s v="COMP_0050"/>
        <s v="COMP_0039"/>
        <s v="COMP_0007"/>
        <s v="COMP_0044"/>
        <s v="COMP_0011"/>
        <s v="COMP_0032"/>
        <s v="COMP_0041"/>
        <s v="COMP_0014"/>
        <s v="COMP_0035"/>
        <s v="COMP_0004"/>
        <s v="COMP_0015"/>
        <s v="COMP_0010"/>
        <s v="COMP_0051"/>
        <s v="COMP_0022"/>
        <s v="COMP_0025"/>
        <s v="COMP_0023"/>
        <s v="COMP_0042"/>
        <s v="COMP_0003"/>
        <s v="COMP_0047"/>
        <s v="COMP_0019"/>
        <s v="COMP_0018"/>
        <s v="COMP_0040"/>
        <s v="COMP_0049"/>
        <s v="COMP_0012"/>
        <s v="COMP_0030"/>
        <s v="COMP_0016"/>
        <s v="COMP_0020"/>
        <s v="COMP_0033"/>
        <s v="COMP_0037"/>
        <s v="COMP_0036"/>
        <s v="COMP_0046"/>
        <s v="COMP_0026"/>
        <s v="COMP_0031"/>
        <s v="COMP_0002"/>
        <s v="COMP_0045"/>
      </sharedItems>
    </cacheField>
    <cacheField name="age" numFmtId="0">
      <sharedItems containsSemiMixedTypes="0" containsString="0" containsNumber="1" containsInteger="1" minValue="18" maxValue="65" count="48">
        <n v="51"/>
        <n v="50"/>
        <n v="55"/>
        <n v="26"/>
        <n v="20"/>
        <n v="28"/>
        <n v="38"/>
        <n v="23"/>
        <n v="47"/>
        <n v="19"/>
        <n v="56"/>
        <n v="64"/>
        <n v="27"/>
        <n v="54"/>
        <n v="48"/>
        <n v="31"/>
        <n v="53"/>
        <n v="39"/>
        <n v="24"/>
        <n v="29"/>
        <n v="57"/>
        <n v="32"/>
        <n v="42"/>
        <n v="44"/>
        <n v="65"/>
        <n v="49"/>
        <n v="25"/>
        <n v="22"/>
        <n v="46"/>
        <n v="43"/>
        <n v="62"/>
        <n v="21"/>
        <n v="52"/>
        <n v="18"/>
        <n v="40"/>
        <n v="45"/>
        <n v="35"/>
        <n v="59"/>
        <n v="41"/>
        <n v="34"/>
        <n v="33"/>
        <n v="36"/>
        <n v="37"/>
        <n v="63"/>
        <n v="61"/>
        <n v="30"/>
        <n v="58"/>
        <n v="60"/>
      </sharedItems>
      <fieldGroup base="2">
        <rangePr startNum="18" endNum="65" groupInterval="10"/>
        <groupItems count="7">
          <s v="&lt;18"/>
          <s v="18-27"/>
          <s v="28-37"/>
          <s v="38-47"/>
          <s v="48-57"/>
          <s v="58-67"/>
          <s v="&gt;68"/>
        </groupItems>
      </fieldGroup>
    </cacheField>
    <cacheField name="GENDER" numFmtId="0">
      <sharedItems count="2">
        <s v="M"/>
        <s v="F"/>
      </sharedItems>
    </cacheField>
    <cacheField name="is_smoker" numFmtId="0">
      <sharedItems containsMixedTypes="1" containsNumber="1" containsInteger="1" minValue="0" maxValue="1" count="4">
        <s v="non-smoker"/>
        <s v="smoker"/>
        <n v="0" u="1"/>
        <n v="1" u="1"/>
      </sharedItems>
    </cacheField>
    <cacheField name="industry_sector" numFmtId="0">
      <sharedItems count="11">
        <s v="Mining and Quarrying"/>
        <s v="Agriculture, Forestry and Fishing"/>
        <s v="Finance, Business Services, etc"/>
        <s v="Utilities"/>
        <s v="Construction"/>
        <s v="Wholesale and Retail Trades"/>
        <s v="Transport, Storage and Communication"/>
        <s v="Services"/>
        <s v="Hotels and Restaurants"/>
        <s v="Manufacturing"/>
        <s v="Finance, Insurance, Real Estate and Business Services" u="1"/>
      </sharedItems>
    </cacheField>
    <cacheField name="risk_multiplier" numFmtId="2">
      <sharedItems containsSemiMixedTypes="0" containsString="0" containsNumber="1" minValue="0.19512195121951201" maxValue="1.70325203252032"/>
    </cacheField>
    <cacheField name="final_loaded_premium_rm" numFmtId="2">
      <sharedItems containsSemiMixedTypes="0" containsString="0" containsNumber="1" minValue="155.684061085926" maxValue="5789.57699434938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9">
  <r>
    <s v="000d0ab4-8758-25f9-270d-4b9ac627bcc4"/>
    <x v="0"/>
    <x v="0"/>
    <x v="0"/>
    <x v="0"/>
    <x v="0"/>
    <n v="1.1544715447154399"/>
    <n v="1010.54226541252"/>
  </r>
  <r>
    <s v="004ee5fe-4dec-030f-dd84-6217f57f04de"/>
    <x v="1"/>
    <x v="1"/>
    <x v="0"/>
    <x v="0"/>
    <x v="1"/>
    <n v="0.66666666666666596"/>
    <n v="587.72593297019898"/>
  </r>
  <r>
    <s v="00ec7649-20ca-53c9-39fd-7228cc2f3ec0"/>
    <x v="2"/>
    <x v="2"/>
    <x v="1"/>
    <x v="0"/>
    <x v="2"/>
    <n v="1.2073170731707299"/>
    <n v="2956.6951956703201"/>
  </r>
  <r>
    <s v="00fdbb6b-68a7-3ca9-c54e-e0349500cb06"/>
    <x v="1"/>
    <x v="3"/>
    <x v="0"/>
    <x v="0"/>
    <x v="3"/>
    <n v="1.11788617886178"/>
    <n v="1169.33898285649"/>
  </r>
  <r>
    <s v="01026cb4-ae34-6a5a-df71-f1d2ad04c94a"/>
    <x v="3"/>
    <x v="4"/>
    <x v="0"/>
    <x v="0"/>
    <x v="0"/>
    <n v="1.1544715447154399"/>
    <n v="1260.3618718514099"/>
  </r>
  <r>
    <s v="01087c54-8bd7-ef2d-7d65-f0b32790d7b3"/>
    <x v="4"/>
    <x v="5"/>
    <x v="1"/>
    <x v="0"/>
    <x v="4"/>
    <n v="1.70325203252032"/>
    <n v="5056.2140219319399"/>
  </r>
  <r>
    <s v="0147d054-cb91-1da6-f812-4f6d1b227ffc"/>
    <x v="5"/>
    <x v="6"/>
    <x v="1"/>
    <x v="0"/>
    <x v="5"/>
    <n v="0.53252032520325199"/>
    <n v="1472.08905781915"/>
  </r>
  <r>
    <s v="015098ab-1906-17ec-fade-a875f487be4b"/>
    <x v="6"/>
    <x v="7"/>
    <x v="1"/>
    <x v="0"/>
    <x v="0"/>
    <n v="1.1544715447154399"/>
    <n v="3551.4367480655301"/>
  </r>
  <r>
    <s v="0188dc70-4930-9314-f682-21f86b5ce4ff"/>
    <x v="7"/>
    <x v="5"/>
    <x v="0"/>
    <x v="0"/>
    <x v="2"/>
    <n v="1.2073170731707299"/>
    <n v="1245.0146344314501"/>
  </r>
  <r>
    <s v="01b0f73a-5277-4365-c634-7c03f13dc383"/>
    <x v="8"/>
    <x v="8"/>
    <x v="1"/>
    <x v="0"/>
    <x v="3"/>
    <n v="1.11788617886178"/>
    <n v="2898.2891405138898"/>
  </r>
  <r>
    <s v="01fb5010-75fe-cab4-3b17-7ba2aef95445"/>
    <x v="9"/>
    <x v="9"/>
    <x v="1"/>
    <x v="0"/>
    <x v="1"/>
    <n v="0.66666666666666596"/>
    <n v="2110.1291981414902"/>
  </r>
  <r>
    <s v="02485540-f135-06c7-27d7-dc3d00550e50"/>
    <x v="10"/>
    <x v="10"/>
    <x v="0"/>
    <x v="0"/>
    <x v="2"/>
    <n v="1.2073170731707299"/>
    <n v="1019.8076682367"/>
  </r>
  <r>
    <s v="024e9a8b-e939-8eee-77fe-80cb57c5234e"/>
    <x v="11"/>
    <x v="11"/>
    <x v="0"/>
    <x v="0"/>
    <x v="2"/>
    <n v="1.2073170731707299"/>
    <n v="963.29512796916799"/>
  </r>
  <r>
    <s v="02a258a9-91d4-ea70-c1b0-1bc39bbd3bcc"/>
    <x v="12"/>
    <x v="9"/>
    <x v="1"/>
    <x v="1"/>
    <x v="5"/>
    <n v="0.53252032520325199"/>
    <n v="1810.1064111211599"/>
  </r>
  <r>
    <s v="02e43ac5-0579-91cc-a72c-5ad1201c65e9"/>
    <x v="13"/>
    <x v="0"/>
    <x v="0"/>
    <x v="0"/>
    <x v="6"/>
    <n v="1.1341463414634101"/>
    <n v="992.75102834540496"/>
  </r>
  <r>
    <s v="02ea5dd0-ff4e-98f5-481f-930ed9cbf218"/>
    <x v="14"/>
    <x v="12"/>
    <x v="0"/>
    <x v="0"/>
    <x v="3"/>
    <n v="1.11788617886178"/>
    <n v="1161.0356752213099"/>
  </r>
  <r>
    <s v="030d03d7-7ba0-23ba-8113-0bfc3885dd5b"/>
    <x v="3"/>
    <x v="13"/>
    <x v="1"/>
    <x v="0"/>
    <x v="7"/>
    <n v="0.46341463414634099"/>
    <n v="1143.00945083072"/>
  </r>
  <r>
    <s v="0404e959-3437-6d3b-b2e0-1d6bb35429ee"/>
    <x v="15"/>
    <x v="14"/>
    <x v="1"/>
    <x v="0"/>
    <x v="2"/>
    <n v="1.2073170731707299"/>
    <n v="3107.9255114755701"/>
  </r>
  <r>
    <s v="04194d1b-3bc8-8a92-04fa-469f1c1a9e32"/>
    <x v="4"/>
    <x v="15"/>
    <x v="1"/>
    <x v="0"/>
    <x v="6"/>
    <n v="1.1341463414634101"/>
    <n v="3295.5737728463"/>
  </r>
  <r>
    <s v="0424d7b4-c695-6e7c-8309-d7c0854d736b"/>
    <x v="16"/>
    <x v="16"/>
    <x v="1"/>
    <x v="0"/>
    <x v="7"/>
    <n v="0.46341463414634099"/>
    <n v="1151.1838414224301"/>
  </r>
  <r>
    <s v="042bd23d-d6e8-2354-c0c0-1f0923f88f82"/>
    <x v="13"/>
    <x v="17"/>
    <x v="0"/>
    <x v="0"/>
    <x v="3"/>
    <n v="1.11788617886178"/>
    <n v="1065.87726862367"/>
  </r>
  <r>
    <s v="04459890-6360-95bc-7ff4-fb5fdfe5fd96"/>
    <x v="1"/>
    <x v="18"/>
    <x v="0"/>
    <x v="0"/>
    <x v="8"/>
    <n v="0.19512195121951201"/>
    <n v="207.03258232586799"/>
  </r>
  <r>
    <s v="04a3c66f-2d27-3ac7-2f40-347db3d34c62"/>
    <x v="13"/>
    <x v="19"/>
    <x v="1"/>
    <x v="0"/>
    <x v="4"/>
    <n v="1.70325203252032"/>
    <n v="5020.3105746776"/>
  </r>
  <r>
    <s v="04add404-a7ba-fa47-fa2d-9c8240451370"/>
    <x v="14"/>
    <x v="10"/>
    <x v="1"/>
    <x v="0"/>
    <x v="6"/>
    <n v="1.1341463414634101"/>
    <n v="2757.7789091507102"/>
  </r>
  <r>
    <s v="04d1fa28-4768-019d-faa2-9df632552546"/>
    <x v="17"/>
    <x v="2"/>
    <x v="0"/>
    <x v="0"/>
    <x v="9"/>
    <n v="1.61788617886178"/>
    <n v="1376.3844570700401"/>
  </r>
  <r>
    <s v="04f65d82-6cea-61ee-139d-5913ba5437e5"/>
    <x v="18"/>
    <x v="10"/>
    <x v="1"/>
    <x v="0"/>
    <x v="8"/>
    <n v="0.19512195121951201"/>
    <n v="474.456586520553"/>
  </r>
  <r>
    <s v="0508f16d-d8ba-0a49-ec21-20525f7ae843"/>
    <x v="19"/>
    <x v="20"/>
    <x v="1"/>
    <x v="0"/>
    <x v="4"/>
    <n v="1.70325203252032"/>
    <n v="4112.2016395606297"/>
  </r>
  <r>
    <s v="050999d6-cab6-3d85-e4a2-03f1c41b1cb3"/>
    <x v="1"/>
    <x v="19"/>
    <x v="0"/>
    <x v="0"/>
    <x v="5"/>
    <n v="0.53252032520325199"/>
    <n v="545.24844916377697"/>
  </r>
  <r>
    <s v="050c6cb7-cffe-cb9a-8ef4-3a10284fa9be"/>
    <x v="6"/>
    <x v="21"/>
    <x v="1"/>
    <x v="0"/>
    <x v="0"/>
    <n v="1.1544715447154399"/>
    <n v="3330.81346037085"/>
  </r>
  <r>
    <s v="051392c8-9e6b-1334-d238-d0d0c12c7eb9"/>
    <x v="13"/>
    <x v="8"/>
    <x v="1"/>
    <x v="0"/>
    <x v="1"/>
    <n v="0.66666666666666596"/>
    <n v="1728.4342510700999"/>
  </r>
  <r>
    <s v="05322ab0-a284-1029-cfc5-6f2458e660f1"/>
    <x v="1"/>
    <x v="22"/>
    <x v="0"/>
    <x v="0"/>
    <x v="9"/>
    <n v="1.61788617886178"/>
    <n v="1509.98623239991"/>
  </r>
  <r>
    <s v="056f536b-362b-34ce-def3-e65cd24a2eee"/>
    <x v="6"/>
    <x v="19"/>
    <x v="1"/>
    <x v="0"/>
    <x v="5"/>
    <n v="0.53252032520325199"/>
    <n v="1569.59590759609"/>
  </r>
  <r>
    <s v="059d3567-b453-c62b-a8d5-35adace7a200"/>
    <x v="6"/>
    <x v="12"/>
    <x v="0"/>
    <x v="0"/>
    <x v="3"/>
    <n v="1.11788617886178"/>
    <n v="1161.0356752213099"/>
  </r>
  <r>
    <s v="05abee42-76bc-cd3f-7c98-9a026c434e5d"/>
    <x v="1"/>
    <x v="23"/>
    <x v="1"/>
    <x v="0"/>
    <x v="5"/>
    <n v="0.53252032520325199"/>
    <n v="1410.47340720699"/>
  </r>
  <r>
    <s v="05e54e6c-d7d3-16b0-6351-a54f8cc74b2b"/>
    <x v="15"/>
    <x v="24"/>
    <x v="1"/>
    <x v="0"/>
    <x v="0"/>
    <n v="1.1544715447154399"/>
    <n v="2632.8117622151899"/>
  </r>
  <r>
    <s v="0684c5d5-7a90-090a-73a6-d69f78db6ed8"/>
    <x v="1"/>
    <x v="25"/>
    <x v="0"/>
    <x v="0"/>
    <x v="3"/>
    <n v="1.11788617886178"/>
    <n v="992.56410080709202"/>
  </r>
  <r>
    <s v="0685dcf4-3ad9-4fda-189d-f88e9be8fa14"/>
    <x v="7"/>
    <x v="26"/>
    <x v="0"/>
    <x v="0"/>
    <x v="9"/>
    <n v="1.61788617886178"/>
    <n v="1704.45551183118"/>
  </r>
  <r>
    <s v="068b8b6a-8a95-3560-7c8b-46f8fb7eb386"/>
    <x v="14"/>
    <x v="11"/>
    <x v="1"/>
    <x v="0"/>
    <x v="0"/>
    <n v="1.1544715447154399"/>
    <n v="2651.6406806315399"/>
  </r>
  <r>
    <s v="06b64c01-1380-54cb-ef68-0d8512a69127"/>
    <x v="20"/>
    <x v="9"/>
    <x v="1"/>
    <x v="0"/>
    <x v="7"/>
    <n v="0.46341463414634099"/>
    <n v="1466.79712553737"/>
  </r>
  <r>
    <s v="06c2bff3-c547-017e-2dd3-f465dc2135b1"/>
    <x v="14"/>
    <x v="26"/>
    <x v="1"/>
    <x v="0"/>
    <x v="1"/>
    <n v="0.66666666666666596"/>
    <n v="2021.8077866558299"/>
  </r>
  <r>
    <s v="06d65967-891f-8191-e436-2c504da60316"/>
    <x v="4"/>
    <x v="11"/>
    <x v="0"/>
    <x v="0"/>
    <x v="9"/>
    <n v="1.61788617886178"/>
    <n v="1290.88033983747"/>
  </r>
  <r>
    <s v="06e3541d-be96-211d-eadd-fc772a99e3ed"/>
    <x v="21"/>
    <x v="13"/>
    <x v="1"/>
    <x v="0"/>
    <x v="7"/>
    <n v="0.46341463414634099"/>
    <n v="1143.00945083072"/>
  </r>
  <r>
    <s v="070212fd-fbe8-7dc4-5398-d0558b6d6335"/>
    <x v="15"/>
    <x v="27"/>
    <x v="1"/>
    <x v="0"/>
    <x v="4"/>
    <n v="1.70325203252032"/>
    <n v="5277.0915762365903"/>
  </r>
  <r>
    <s v="07142252-30d8-8ba6-9bf5-502d275f2788"/>
    <x v="22"/>
    <x v="26"/>
    <x v="1"/>
    <x v="0"/>
    <x v="9"/>
    <n v="1.61788617886178"/>
    <n v="4906.5823115184103"/>
  </r>
  <r>
    <s v="0730cb0d-3845-4a12-46eb-fafa042b104c"/>
    <x v="21"/>
    <x v="28"/>
    <x v="0"/>
    <x v="0"/>
    <x v="4"/>
    <n v="1.70325203252032"/>
    <n v="1544.98576989916"/>
  </r>
  <r>
    <s v="073175af-c053-9dad-e441-163c59501315"/>
    <x v="23"/>
    <x v="3"/>
    <x v="1"/>
    <x v="0"/>
    <x v="3"/>
    <n v="1.11788617886178"/>
    <n v="3366.1529618268401"/>
  </r>
  <r>
    <s v="073dbd8b-9a1b-06dc-d82b-69403950029c"/>
    <x v="24"/>
    <x v="28"/>
    <x v="0"/>
    <x v="0"/>
    <x v="7"/>
    <n v="0.46341463414634099"/>
    <n v="420.35412355251702"/>
  </r>
  <r>
    <s v="0741dda9-9ef6-c637-a587-8954747fccdc"/>
    <x v="25"/>
    <x v="27"/>
    <x v="0"/>
    <x v="0"/>
    <x v="1"/>
    <n v="0.66666666666666596"/>
    <n v="717.51508678883795"/>
  </r>
  <r>
    <s v="07861585-7979-ef14-ff8d-7cba54013f93"/>
    <x v="2"/>
    <x v="10"/>
    <x v="1"/>
    <x v="0"/>
    <x v="0"/>
    <n v="1.1544715447154399"/>
    <n v="2807.2014702465999"/>
  </r>
  <r>
    <s v="07a520a4-9514-c342-e16d-dde047771ce0"/>
    <x v="17"/>
    <x v="29"/>
    <x v="0"/>
    <x v="0"/>
    <x v="2"/>
    <n v="1.2073170731707299"/>
    <n v="1118.7975356909401"/>
  </r>
  <r>
    <s v="07ee307b-696b-5ec9-7d50-2fb1703334c2"/>
    <x v="6"/>
    <x v="30"/>
    <x v="0"/>
    <x v="0"/>
    <x v="5"/>
    <n v="0.53252032520325199"/>
    <n v="430.98676865805402"/>
  </r>
  <r>
    <s v="07f16bd9-fcb5-a0fb-055e-1efe0a3ae723"/>
    <x v="6"/>
    <x v="31"/>
    <x v="0"/>
    <x v="0"/>
    <x v="8"/>
    <n v="0.19512195121951201"/>
    <n v="211.506291345861"/>
  </r>
  <r>
    <s v="0802cc11-04ba-36f9-8cc8-af782501de58"/>
    <x v="14"/>
    <x v="32"/>
    <x v="1"/>
    <x v="0"/>
    <x v="1"/>
    <n v="0.66666666666666596"/>
    <n v="1667.9327854169501"/>
  </r>
  <r>
    <s v="080e1c6b-0c46-d18f-b62a-471ec25dd34f"/>
    <x v="17"/>
    <x v="33"/>
    <x v="0"/>
    <x v="0"/>
    <x v="7"/>
    <n v="0.46341463414634099"/>
    <n v="513.18209478791698"/>
  </r>
  <r>
    <s v="08b64ca0-7bdc-64fb-d550-28dd0f50f315"/>
    <x v="15"/>
    <x v="14"/>
    <x v="1"/>
    <x v="0"/>
    <x v="2"/>
    <n v="1.2073170731707299"/>
    <n v="3107.9255114755701"/>
  </r>
  <r>
    <s v="08eefd28-d0cc-fb13-c8ce-00fb4a2b598e"/>
    <x v="9"/>
    <x v="33"/>
    <x v="1"/>
    <x v="0"/>
    <x v="1"/>
    <n v="0.66666666666666596"/>
    <n v="2125.2200797191099"/>
  </r>
  <r>
    <s v="0909851c-9f7a-a3db-e65f-ea924cf6401a"/>
    <x v="6"/>
    <x v="15"/>
    <x v="0"/>
    <x v="0"/>
    <x v="7"/>
    <n v="0.46341463414634099"/>
    <n v="467.77635700036097"/>
  </r>
  <r>
    <s v="092afef6-62c2-f6bd-0132-76be76dd29dd"/>
    <x v="6"/>
    <x v="21"/>
    <x v="0"/>
    <x v="0"/>
    <x v="6"/>
    <n v="1.1341463414634101"/>
    <n v="1136.6918746680101"/>
  </r>
  <r>
    <s v="092c4d7e-df82-046a-706f-979b977be149"/>
    <x v="8"/>
    <x v="7"/>
    <x v="1"/>
    <x v="0"/>
    <x v="6"/>
    <n v="1.1341463414634101"/>
    <n v="3488.9114532052199"/>
  </r>
  <r>
    <s v="0933db9a-2f29-fcd3-bb1f-f8a2ad9c5fe7"/>
    <x v="8"/>
    <x v="10"/>
    <x v="1"/>
    <x v="0"/>
    <x v="4"/>
    <n v="1.70325203252032"/>
    <n v="4141.6106198356601"/>
  </r>
  <r>
    <s v="094b70d9-5c5d-a849-3d60-c2211b059530"/>
    <x v="26"/>
    <x v="10"/>
    <x v="1"/>
    <x v="0"/>
    <x v="1"/>
    <n v="0.66666666666666596"/>
    <n v="1621.0600039452199"/>
  </r>
  <r>
    <s v="0958e195-3902-787f-238d-005dc1bc52ed"/>
    <x v="4"/>
    <x v="9"/>
    <x v="0"/>
    <x v="0"/>
    <x v="6"/>
    <n v="1.1341463414634101"/>
    <n v="1247.0273639120401"/>
  </r>
  <r>
    <s v="095cf25f-ffc5-64ac-4cd2-d4934f4c6f49"/>
    <x v="13"/>
    <x v="31"/>
    <x v="1"/>
    <x v="0"/>
    <x v="7"/>
    <n v="0.46341463414634099"/>
    <n v="1446.04005451373"/>
  </r>
  <r>
    <s v="0963c699-b4e5-89f2-67e8-c9b0bd46b32a"/>
    <x v="27"/>
    <x v="34"/>
    <x v="0"/>
    <x v="0"/>
    <x v="4"/>
    <n v="1.70325203252032"/>
    <n v="1612.4775091353899"/>
  </r>
  <r>
    <s v="0973af60-884c-3764-a729-177c20fb7a7a"/>
    <x v="8"/>
    <x v="19"/>
    <x v="1"/>
    <x v="0"/>
    <x v="7"/>
    <n v="0.46341463414634099"/>
    <n v="1365.90788905309"/>
  </r>
  <r>
    <s v="0998af08-6481-a54d-3b0b-1c2433feae56"/>
    <x v="28"/>
    <x v="35"/>
    <x v="1"/>
    <x v="0"/>
    <x v="4"/>
    <n v="1.70325203252032"/>
    <n v="4479.3269804866804"/>
  </r>
  <r>
    <s v="09bed3fe-70a2-bdd3-3db5-727aa09932fc"/>
    <x v="3"/>
    <x v="10"/>
    <x v="0"/>
    <x v="0"/>
    <x v="1"/>
    <n v="0.66666666666666596"/>
    <n v="563.126119834409"/>
  </r>
  <r>
    <s v="09c511c9-7135-45fb-ffdc-3a8af4aaa044"/>
    <x v="28"/>
    <x v="36"/>
    <x v="1"/>
    <x v="0"/>
    <x v="2"/>
    <n v="1.2073170731707299"/>
    <n v="3409.6031160091502"/>
  </r>
  <r>
    <s v="09cf411a-2de6-7780-cb99-31a9cd0d6951"/>
    <x v="15"/>
    <x v="5"/>
    <x v="1"/>
    <x v="0"/>
    <x v="0"/>
    <n v="1.1544715447154399"/>
    <n v="3427.1235852712898"/>
  </r>
  <r>
    <s v="0a1964d1-3628-9d85-31d2-3cc42e2596eb"/>
    <x v="17"/>
    <x v="16"/>
    <x v="1"/>
    <x v="0"/>
    <x v="9"/>
    <n v="1.61788617886178"/>
    <n v="4019.0453411064"/>
  </r>
  <r>
    <s v="0a6e8c07-1bfd-0d14-d540-4dfd379fcc1b"/>
    <x v="15"/>
    <x v="36"/>
    <x v="1"/>
    <x v="0"/>
    <x v="2"/>
    <n v="1.2073170731707299"/>
    <n v="3409.6031160091502"/>
  </r>
  <r>
    <s v="0a710c8b-e041-de13-1c68-aab723fe3280"/>
    <x v="6"/>
    <x v="16"/>
    <x v="1"/>
    <x v="0"/>
    <x v="3"/>
    <n v="1.11788617886178"/>
    <n v="2776.9785648348202"/>
  </r>
  <r>
    <s v="0a7febd1-583c-cd36-fe19-a000fb7fdedd"/>
    <x v="1"/>
    <x v="13"/>
    <x v="0"/>
    <x v="0"/>
    <x v="7"/>
    <n v="0.46341463414634099"/>
    <n v="397.06024170226499"/>
  </r>
  <r>
    <s v="0aa4bb51-95fb-9f7a-29c9-74ecc59880cb"/>
    <x v="28"/>
    <x v="35"/>
    <x v="1"/>
    <x v="0"/>
    <x v="3"/>
    <n v="1.11788617886178"/>
    <n v="2939.8924096272899"/>
  </r>
  <r>
    <s v="0aac4a73-884e-fbd2-ce9e-760f6d3620dd"/>
    <x v="28"/>
    <x v="37"/>
    <x v="0"/>
    <x v="0"/>
    <x v="2"/>
    <n v="1.2073170731707299"/>
    <n v="998.23704385944495"/>
  </r>
  <r>
    <s v="0ab8ebba-10c2-bd73-856a-745f7e66295a"/>
    <x v="22"/>
    <x v="5"/>
    <x v="1"/>
    <x v="0"/>
    <x v="4"/>
    <n v="1.70325203252032"/>
    <n v="5056.2140219319399"/>
  </r>
  <r>
    <s v="0ac5ac76-c921-377a-57cf-b5883df51732"/>
    <x v="6"/>
    <x v="29"/>
    <x v="1"/>
    <x v="0"/>
    <x v="9"/>
    <n v="1.61788617886178"/>
    <n v="4315.9016804757002"/>
  </r>
  <r>
    <s v="0ad8a5cd-1ed9-0bf1-6ebd-a8bf8b3e3f64"/>
    <x v="18"/>
    <x v="38"/>
    <x v="1"/>
    <x v="0"/>
    <x v="9"/>
    <n v="1.61788617886178"/>
    <n v="4377.85396003603"/>
  </r>
  <r>
    <s v="0b07e00c-52ed-daa4-8e7f-15d609719b7a"/>
    <x v="13"/>
    <x v="17"/>
    <x v="0"/>
    <x v="0"/>
    <x v="8"/>
    <n v="0.19512195121951201"/>
    <n v="186.04403234158599"/>
  </r>
  <r>
    <s v="0b1226fa-1d5d-b3cd-6d31-a20c81c9cf66"/>
    <x v="29"/>
    <x v="28"/>
    <x v="0"/>
    <x v="0"/>
    <x v="9"/>
    <n v="1.61788617886178"/>
    <n v="1467.55211556054"/>
  </r>
  <r>
    <s v="0b1a471a-8241-9386-0671-51a5f30e6a4d"/>
    <x v="21"/>
    <x v="37"/>
    <x v="1"/>
    <x v="0"/>
    <x v="0"/>
    <n v="1.1544715447154399"/>
    <n v="2747.8245010866399"/>
  </r>
  <r>
    <s v="0b22c9f5-3918-eb83-f0d9-20d013d956fa"/>
    <x v="22"/>
    <x v="39"/>
    <x v="1"/>
    <x v="0"/>
    <x v="9"/>
    <n v="1.61788617886178"/>
    <n v="4601.77431472629"/>
  </r>
  <r>
    <s v="0b3674dd-09db-e27a-8845-48e83b1f5bc5"/>
    <x v="2"/>
    <x v="40"/>
    <x v="0"/>
    <x v="0"/>
    <x v="2"/>
    <n v="1.2073170731707299"/>
    <n v="1201.4346081179899"/>
  </r>
  <r>
    <s v="0b67433f-6e09-e77b-a9bb-11a1fc828369"/>
    <x v="27"/>
    <x v="29"/>
    <x v="0"/>
    <x v="0"/>
    <x v="8"/>
    <n v="0.19512195121951201"/>
    <n v="180.81576334399099"/>
  </r>
  <r>
    <s v="0b8dd929-c5be-4102-9f7a-15ab29ccd507"/>
    <x v="1"/>
    <x v="18"/>
    <x v="0"/>
    <x v="1"/>
    <x v="2"/>
    <n v="1.2073170731707299"/>
    <n v="1375.6929863339401"/>
  </r>
  <r>
    <s v="0bc87abd-ca06-46a5-0596-06f44b69192e"/>
    <x v="30"/>
    <x v="30"/>
    <x v="1"/>
    <x v="0"/>
    <x v="2"/>
    <n v="1.2073170731707299"/>
    <n v="2812.8236818486298"/>
  </r>
  <r>
    <s v="0bf3c543-a887-b90b-5cd7-8db15406a042"/>
    <x v="8"/>
    <x v="23"/>
    <x v="1"/>
    <x v="0"/>
    <x v="5"/>
    <n v="0.53252032520325199"/>
    <n v="1410.47340720699"/>
  </r>
  <r>
    <s v="0c3b2807-e1ea-e4ef-f73c-4350a3877882"/>
    <x v="21"/>
    <x v="40"/>
    <x v="0"/>
    <x v="0"/>
    <x v="8"/>
    <n v="0.19512195121951201"/>
    <n v="194.17124979684701"/>
  </r>
  <r>
    <s v="0c60e2dd-b01e-1270-988f-f4431b99eb13"/>
    <x v="17"/>
    <x v="36"/>
    <x v="1"/>
    <x v="0"/>
    <x v="2"/>
    <n v="1.2073170731707299"/>
    <n v="3409.6031160091502"/>
  </r>
  <r>
    <s v="0c91ca41-8f6d-4856-e92b-692a2f8b862d"/>
    <x v="21"/>
    <x v="9"/>
    <x v="0"/>
    <x v="0"/>
    <x v="5"/>
    <n v="0.53252032520325199"/>
    <n v="585.52180886192502"/>
  </r>
  <r>
    <s v="0ca205ef-4507-cc8b-fed3-9c84bc622710"/>
    <x v="2"/>
    <x v="33"/>
    <x v="0"/>
    <x v="0"/>
    <x v="5"/>
    <n v="0.53252032520325199"/>
    <n v="589.70924927383396"/>
  </r>
  <r>
    <s v="0cc00117-6ef1-c195-b142-1dc9b2b9ee30"/>
    <x v="6"/>
    <x v="34"/>
    <x v="1"/>
    <x v="0"/>
    <x v="8"/>
    <n v="0.19512195121951201"/>
    <n v="531.75832639834903"/>
  </r>
  <r>
    <s v="0ccd6fc9-a7f1-3440-6664-87beda46c534"/>
    <x v="6"/>
    <x v="38"/>
    <x v="0"/>
    <x v="0"/>
    <x v="3"/>
    <n v="1.11788617886178"/>
    <n v="1050.7937306332301"/>
  </r>
  <r>
    <s v="0d0053a5-b769-2d2f-4e9c-bf02d4335814"/>
    <x v="21"/>
    <x v="15"/>
    <x v="1"/>
    <x v="0"/>
    <x v="4"/>
    <n v="1.70325203252032"/>
    <n v="4949.2667054573503"/>
  </r>
  <r>
    <s v="0d4d5b51-a069-faaf-f9b2-44d23a68a32a"/>
    <x v="22"/>
    <x v="14"/>
    <x v="1"/>
    <x v="0"/>
    <x v="0"/>
    <n v="1.1544715447154399"/>
    <n v="2971.8883678756301"/>
  </r>
  <r>
    <s v="0d6e6eb5-946d-f457-8aa9-95958ea75816"/>
    <x v="27"/>
    <x v="4"/>
    <x v="0"/>
    <x v="0"/>
    <x v="4"/>
    <n v="1.70325203252032"/>
    <n v="1859.4775503723299"/>
  </r>
  <r>
    <s v="0de874f4-6d71-8672-bf7a-ffd2ea5a97e3"/>
    <x v="14"/>
    <x v="27"/>
    <x v="1"/>
    <x v="0"/>
    <x v="9"/>
    <n v="1.61788617886178"/>
    <n v="5012.6072728929903"/>
  </r>
  <r>
    <s v="0dfabafb-7309-48f1-58f5-3b617859c2d7"/>
    <x v="17"/>
    <x v="13"/>
    <x v="1"/>
    <x v="0"/>
    <x v="0"/>
    <n v="1.1544715447154399"/>
    <n v="2847.4972283853199"/>
  </r>
  <r>
    <s v="0ea7d61b-dc62-42fd-a066-f9164d956c65"/>
    <x v="13"/>
    <x v="31"/>
    <x v="0"/>
    <x v="0"/>
    <x v="9"/>
    <n v="1.61788617886178"/>
    <n v="1753.7396657427601"/>
  </r>
  <r>
    <s v="0ebaf36a-ca51-72e4-7284-7a3d945f00d3"/>
    <x v="2"/>
    <x v="1"/>
    <x v="1"/>
    <x v="0"/>
    <x v="2"/>
    <n v="1.2073170731707299"/>
    <n v="3063.9443572622699"/>
  </r>
  <r>
    <s v="0ebcd71c-b18c-52c8-cbf7-155d61640a43"/>
    <x v="6"/>
    <x v="41"/>
    <x v="0"/>
    <x v="0"/>
    <x v="7"/>
    <n v="0.46341463414634099"/>
    <n v="451.40248846651798"/>
  </r>
  <r>
    <s v="0ef2aa9f-5a72-6b70-cf28-d6928c5cf53b"/>
    <x v="4"/>
    <x v="21"/>
    <x v="0"/>
    <x v="0"/>
    <x v="8"/>
    <n v="0.19512195121951201"/>
    <n v="195.55989241600199"/>
  </r>
  <r>
    <s v="0f169510-1a24-9fa2-7924-4f8065810482"/>
    <x v="4"/>
    <x v="14"/>
    <x v="0"/>
    <x v="0"/>
    <x v="0"/>
    <n v="1.1544715447154399"/>
    <n v="1032.37878987196"/>
  </r>
  <r>
    <s v="0f1d8925-5cc5-2c8f-703c-e02ccf083a2a"/>
    <x v="17"/>
    <x v="14"/>
    <x v="1"/>
    <x v="0"/>
    <x v="0"/>
    <n v="1.1544715447154399"/>
    <n v="2971.8883678756301"/>
  </r>
  <r>
    <s v="0f260e25-c479-0b3d-5c90-1fc4a803dae6"/>
    <x v="21"/>
    <x v="10"/>
    <x v="0"/>
    <x v="0"/>
    <x v="2"/>
    <n v="1.2073170731707299"/>
    <n v="1019.8076682367"/>
  </r>
  <r>
    <s v="0fbde7b2-e00e-660e-dc86-419b46f05935"/>
    <x v="26"/>
    <x v="25"/>
    <x v="0"/>
    <x v="0"/>
    <x v="3"/>
    <n v="1.11788617886178"/>
    <n v="992.56410080709202"/>
  </r>
  <r>
    <s v="0fc005ff-88d7-2f96-7a11-1e6be901b658"/>
    <x v="31"/>
    <x v="10"/>
    <x v="0"/>
    <x v="0"/>
    <x v="5"/>
    <n v="0.53252032520325199"/>
    <n v="449.81415669699697"/>
  </r>
  <r>
    <s v="0fc619b4-d366-04e6-3146-c02e9257eff1"/>
    <x v="13"/>
    <x v="33"/>
    <x v="0"/>
    <x v="0"/>
    <x v="2"/>
    <n v="1.2073170731707299"/>
    <n v="1336.9744048422001"/>
  </r>
  <r>
    <s v="0fca2f5e-388c-c18b-4168-a90ac47fcd05"/>
    <x v="28"/>
    <x v="0"/>
    <x v="1"/>
    <x v="0"/>
    <x v="6"/>
    <n v="1.1341463414634101"/>
    <n v="2857.81271591425"/>
  </r>
  <r>
    <s v="0fdce9cd-b98b-03c2-57a8-44ddcecc45ab"/>
    <x v="14"/>
    <x v="9"/>
    <x v="1"/>
    <x v="0"/>
    <x v="5"/>
    <n v="0.53252032520325199"/>
    <n v="1685.5300302227699"/>
  </r>
  <r>
    <s v="10123421-be28-c026-aa3a-9e991a6236f3"/>
    <x v="27"/>
    <x v="42"/>
    <x v="1"/>
    <x v="0"/>
    <x v="8"/>
    <n v="0.19512195121951201"/>
    <n v="543.24894296961099"/>
  </r>
  <r>
    <s v="10868285-e014-6989-e4e8-e4a41b4ee63f"/>
    <x v="4"/>
    <x v="1"/>
    <x v="1"/>
    <x v="0"/>
    <x v="5"/>
    <n v="0.53252032520325199"/>
    <n v="1351.4367367049001"/>
  </r>
  <r>
    <s v="108a012b-4f97-51f8-f8ac-f91b33f2a852"/>
    <x v="28"/>
    <x v="43"/>
    <x v="1"/>
    <x v="0"/>
    <x v="3"/>
    <n v="1.11788617886178"/>
    <n v="2585.9724316337001"/>
  </r>
  <r>
    <s v="108b4333-26cc-f6a3-7858-baa70227d2bd"/>
    <x v="2"/>
    <x v="44"/>
    <x v="1"/>
    <x v="0"/>
    <x v="5"/>
    <n v="0.53252032520325199"/>
    <n v="1249.5459173121001"/>
  </r>
  <r>
    <s v="10933a19-1b1c-2b08-ebed-505a554c19f4"/>
    <x v="32"/>
    <x v="23"/>
    <x v="1"/>
    <x v="0"/>
    <x v="8"/>
    <n v="0.19512195121951201"/>
    <n v="516.814683556761"/>
  </r>
  <r>
    <s v="10997b80-32d8-f42f-6437-f5caeaf67d1f"/>
    <x v="17"/>
    <x v="30"/>
    <x v="0"/>
    <x v="0"/>
    <x v="3"/>
    <n v="1.11788617886178"/>
    <n v="904.74321664858803"/>
  </r>
  <r>
    <s v="10eaa465-cfc4-a7f7-e015-86bcec239194"/>
    <x v="2"/>
    <x v="35"/>
    <x v="1"/>
    <x v="0"/>
    <x v="4"/>
    <n v="1.70325203252032"/>
    <n v="4479.3269804866804"/>
  </r>
  <r>
    <s v="110b4dff-8f76-613c-7493-8b2129ca0820"/>
    <x v="33"/>
    <x v="19"/>
    <x v="0"/>
    <x v="0"/>
    <x v="0"/>
    <n v="1.1544715447154399"/>
    <n v="1182.06534017185"/>
  </r>
  <r>
    <s v="11147878-4f5e-faf6-0ebb-239d51e54e20"/>
    <x v="2"/>
    <x v="6"/>
    <x v="1"/>
    <x v="0"/>
    <x v="0"/>
    <n v="1.1544715447154399"/>
    <n v="3191.3991787834998"/>
  </r>
  <r>
    <s v="11318885-d297-3081-a91e-efead5612fd6"/>
    <x v="15"/>
    <x v="42"/>
    <x v="0"/>
    <x v="0"/>
    <x v="9"/>
    <n v="1.61788617886178"/>
    <n v="1564.7584516254201"/>
  </r>
  <r>
    <s v="11eef23d-5d1f-3238-b7c9-4b39016bf2ab"/>
    <x v="30"/>
    <x v="31"/>
    <x v="1"/>
    <x v="0"/>
    <x v="4"/>
    <n v="1.70325203252032"/>
    <n v="5314.8314284320704"/>
  </r>
  <r>
    <s v="12417f8f-4881-dfa1-0886-a089c9685860"/>
    <x v="34"/>
    <x v="18"/>
    <x v="0"/>
    <x v="0"/>
    <x v="4"/>
    <n v="1.70325203252032"/>
    <n v="1807.22191655289"/>
  </r>
  <r>
    <s v="1251ecf0-078e-0d63-b8ef-d8a6bc14ffdd"/>
    <x v="1"/>
    <x v="20"/>
    <x v="1"/>
    <x v="0"/>
    <x v="5"/>
    <n v="0.53252032520325199"/>
    <n v="1285.6764075953199"/>
  </r>
  <r>
    <s v="127616cb-ab7b-448a-5cd1-6f51aa716acc"/>
    <x v="35"/>
    <x v="35"/>
    <x v="0"/>
    <x v="0"/>
    <x v="0"/>
    <n v="1.1544715447154399"/>
    <n v="1054.6871736655401"/>
  </r>
  <r>
    <s v="12812438-3517-c95e-9f5a-278263bf4678"/>
    <x v="1"/>
    <x v="28"/>
    <x v="0"/>
    <x v="0"/>
    <x v="8"/>
    <n v="0.19512195121951201"/>
    <n v="176.99120991684899"/>
  </r>
  <r>
    <s v="12bdd414-a7bd-1c37-5d3f-6b7c7044d1ac"/>
    <x v="15"/>
    <x v="12"/>
    <x v="0"/>
    <x v="0"/>
    <x v="1"/>
    <n v="0.66666666666666596"/>
    <n v="692.39945722289099"/>
  </r>
  <r>
    <s v="12da051a-0bf8-fcc9-94fe-0318ef315c41"/>
    <x v="21"/>
    <x v="6"/>
    <x v="0"/>
    <x v="0"/>
    <x v="1"/>
    <n v="0.66666666666666596"/>
    <n v="640.19638613013205"/>
  </r>
  <r>
    <s v="12e7e99e-b876-78a4-08ab-bc9076f68276"/>
    <x v="16"/>
    <x v="44"/>
    <x v="0"/>
    <x v="0"/>
    <x v="3"/>
    <n v="1.11788617886178"/>
    <n v="911.21361322554799"/>
  </r>
  <r>
    <s v="130c4ff4-d29b-153b-fe50-fec9a1f46d5e"/>
    <x v="3"/>
    <x v="20"/>
    <x v="0"/>
    <x v="0"/>
    <x v="0"/>
    <n v="1.1544715447154399"/>
    <n v="968.24508317090499"/>
  </r>
  <r>
    <s v="13104aa2-c93e-59b2-c0f9-9f99e51d15e6"/>
    <x v="1"/>
    <x v="45"/>
    <x v="0"/>
    <x v="0"/>
    <x v="0"/>
    <n v="1.1544715447154399"/>
    <n v="1173.6716645070201"/>
  </r>
  <r>
    <s v="13ae8881-5783-3983-6a40-7358e255ca4e"/>
    <x v="13"/>
    <x v="4"/>
    <x v="1"/>
    <x v="0"/>
    <x v="1"/>
    <n v="0.66666666666666596"/>
    <n v="2095.1454747396101"/>
  </r>
  <r>
    <s v="13f4b9ba-6019-256d-6da7-395d8a156d5d"/>
    <x v="1"/>
    <x v="31"/>
    <x v="1"/>
    <x v="0"/>
    <x v="0"/>
    <n v="1.1544715447154399"/>
    <n v="3602.4155744026398"/>
  </r>
  <r>
    <s v="1426538e-7658-0bbd-96ee-267401f75b3d"/>
    <x v="14"/>
    <x v="26"/>
    <x v="0"/>
    <x v="0"/>
    <x v="5"/>
    <n v="0.53252032520325199"/>
    <n v="561.01425138162006"/>
  </r>
  <r>
    <s v="147b7684-5ceb-cb60-fa9e-6a847997f4b4"/>
    <x v="2"/>
    <x v="7"/>
    <x v="1"/>
    <x v="0"/>
    <x v="6"/>
    <n v="1.1341463414634101"/>
    <n v="3488.9114532052199"/>
  </r>
  <r>
    <s v="14b28f38-4b58-0e0a-554e-30cb49698cde"/>
    <x v="13"/>
    <x v="45"/>
    <x v="1"/>
    <x v="0"/>
    <x v="7"/>
    <n v="0.46341463414634099"/>
    <n v="1356.2087739372801"/>
  </r>
  <r>
    <s v="14bc2f8b-f599-f0cd-5c95-3551fa64f0ae"/>
    <x v="13"/>
    <x v="12"/>
    <x v="0"/>
    <x v="0"/>
    <x v="4"/>
    <n v="1.70325203252032"/>
    <n v="1768.9961742462799"/>
  </r>
  <r>
    <s v="14d3d862-6936-d0e7-25ba-1fc52fcd2527"/>
    <x v="36"/>
    <x v="46"/>
    <x v="0"/>
    <x v="0"/>
    <x v="9"/>
    <n v="1.61788617886178"/>
    <n v="1347.27164193158"/>
  </r>
  <r>
    <s v="14d74875-02f3-9b40-b80c-998f1bf47b76"/>
    <x v="1"/>
    <x v="41"/>
    <x v="0"/>
    <x v="0"/>
    <x v="3"/>
    <n v="1.11788617886178"/>
    <n v="1088.9095116516801"/>
  </r>
  <r>
    <s v="14eeeaa3-59c0-b130-6b88-7814a2fee4b3"/>
    <x v="15"/>
    <x v="39"/>
    <x v="1"/>
    <x v="0"/>
    <x v="6"/>
    <n v="1.1341463414634101"/>
    <n v="3225.8669191171698"/>
  </r>
  <r>
    <s v="14f32269-d3fd-8f29-b01d-6803aa62169f"/>
    <x v="22"/>
    <x v="5"/>
    <x v="1"/>
    <x v="0"/>
    <x v="1"/>
    <n v="0.66666666666666596"/>
    <n v="1979.04319712849"/>
  </r>
  <r>
    <s v="15365aed-718c-fdc1-3ef4-3ce255badf63"/>
    <x v="6"/>
    <x v="28"/>
    <x v="1"/>
    <x v="0"/>
    <x v="4"/>
    <n v="1.70325203252032"/>
    <n v="4447.5199249939196"/>
  </r>
  <r>
    <s v="15381b5c-c02d-151f-19dd-a5921d0233bf"/>
    <x v="34"/>
    <x v="0"/>
    <x v="0"/>
    <x v="0"/>
    <x v="0"/>
    <n v="1.1544715447154399"/>
    <n v="1010.54226541252"/>
  </r>
  <r>
    <s v="153becc0-6788-73f4-4160-8404763ff127"/>
    <x v="28"/>
    <x v="17"/>
    <x v="0"/>
    <x v="0"/>
    <x v="9"/>
    <n v="1.61788617886178"/>
    <n v="1542.61510149898"/>
  </r>
  <r>
    <s v="15722134-36ca-78af-0c4c-b1fea76184b4"/>
    <x v="15"/>
    <x v="27"/>
    <x v="0"/>
    <x v="0"/>
    <x v="0"/>
    <n v="1.1544715447154399"/>
    <n v="1242.5261259026199"/>
  </r>
  <r>
    <s v="15860358-d773-09fb-1f54-0829ce3d8cf9"/>
    <x v="37"/>
    <x v="4"/>
    <x v="0"/>
    <x v="0"/>
    <x v="8"/>
    <n v="0.19512195121951201"/>
    <n v="213.01890791854899"/>
  </r>
  <r>
    <s v="15a61fa4-9c7b-1373-2d2c-788b03eceeb1"/>
    <x v="26"/>
    <x v="22"/>
    <x v="1"/>
    <x v="0"/>
    <x v="8"/>
    <n v="0.19512195121951201"/>
    <n v="524.23326028232498"/>
  </r>
  <r>
    <s v="15ac9668-15a1-5669-e1fe-4abff2f1f3a4"/>
    <x v="1"/>
    <x v="10"/>
    <x v="0"/>
    <x v="0"/>
    <x v="9"/>
    <n v="1.61788617886178"/>
    <n v="1366.6109493542299"/>
  </r>
  <r>
    <s v="15c35c5c-7e78-f025-f711-6b1975943815"/>
    <x v="6"/>
    <x v="16"/>
    <x v="1"/>
    <x v="0"/>
    <x v="9"/>
    <n v="1.61788617886178"/>
    <n v="4019.0453411064"/>
  </r>
  <r>
    <s v="15c856da-57b0-09a4-d1ee-c9bb3578c378"/>
    <x v="6"/>
    <x v="34"/>
    <x v="0"/>
    <x v="0"/>
    <x v="1"/>
    <n v="0.66666666666666596"/>
    <n v="631.13678161862697"/>
  </r>
  <r>
    <s v="15f2d868-c45f-4a9b-9370-b530786f489e"/>
    <x v="28"/>
    <x v="10"/>
    <x v="0"/>
    <x v="0"/>
    <x v="9"/>
    <n v="1.61788617886178"/>
    <n v="1366.6109493542299"/>
  </r>
  <r>
    <s v="1606dd48-7797-b389-e226-b733f315da27"/>
    <x v="22"/>
    <x v="23"/>
    <x v="0"/>
    <x v="0"/>
    <x v="5"/>
    <n v="0.53252032520325199"/>
    <n v="489.97224963730099"/>
  </r>
  <r>
    <s v="160e73a1-a57e-8e25-b315-c4f63e68b563"/>
    <x v="10"/>
    <x v="3"/>
    <x v="1"/>
    <x v="0"/>
    <x v="0"/>
    <n v="1.1544715447154399"/>
    <n v="3476.3179678502602"/>
  </r>
  <r>
    <s v="166d9c4a-5aee-bc0f-c969-a012654aed35"/>
    <x v="2"/>
    <x v="46"/>
    <x v="0"/>
    <x v="0"/>
    <x v="6"/>
    <n v="1.1341463414634101"/>
    <n v="944.44419120329599"/>
  </r>
  <r>
    <s v="168317eb-0c68-5a1a-f6aa-fb500258f073"/>
    <x v="6"/>
    <x v="40"/>
    <x v="1"/>
    <x v="0"/>
    <x v="2"/>
    <n v="1.2073170731707299"/>
    <n v="3458.54600235625"/>
  </r>
  <r>
    <s v="16893834-808a-340f-facf-183c9d319bf0"/>
    <x v="21"/>
    <x v="7"/>
    <x v="1"/>
    <x v="0"/>
    <x v="9"/>
    <n v="1.61788617886178"/>
    <n v="4977.0134708805699"/>
  </r>
  <r>
    <s v="169bb8b9-83ed-5cc9-e743-eebfb59372bc"/>
    <x v="29"/>
    <x v="8"/>
    <x v="0"/>
    <x v="0"/>
    <x v="3"/>
    <n v="1.11788617886178"/>
    <n v="1006.81178604351"/>
  </r>
  <r>
    <s v="16a7b728-ccd8-a26e-13e0-a40eaa5e05ce"/>
    <x v="2"/>
    <x v="43"/>
    <x v="0"/>
    <x v="0"/>
    <x v="8"/>
    <n v="0.19512195121951201"/>
    <n v="156.797457237896"/>
  </r>
  <r>
    <s v="16abffe7-5df7-601a-c9d0-6d9d1ca47170"/>
    <x v="1"/>
    <x v="2"/>
    <x v="0"/>
    <x v="0"/>
    <x v="5"/>
    <n v="0.53252032520325199"/>
    <n v="453.03106501551599"/>
  </r>
  <r>
    <s v="178736ce-322f-db21-26f9-d5ce48a485af"/>
    <x v="14"/>
    <x v="25"/>
    <x v="1"/>
    <x v="0"/>
    <x v="4"/>
    <n v="1.70325203252032"/>
    <n v="4353.4474986919104"/>
  </r>
  <r>
    <s v="17939b26-61f1-21bc-2192-47991084bea7"/>
    <x v="4"/>
    <x v="31"/>
    <x v="1"/>
    <x v="1"/>
    <x v="2"/>
    <n v="1.2073170731707299"/>
    <n v="4045.7545654312198"/>
  </r>
  <r>
    <s v="17a4f77e-e991-7ba9-581b-6a8d35e89bfd"/>
    <x v="2"/>
    <x v="40"/>
    <x v="0"/>
    <x v="0"/>
    <x v="6"/>
    <n v="1.1341463414634101"/>
    <n v="1128.6203894441701"/>
  </r>
  <r>
    <s v="17cad707-7fba-b453-0222-f8c7780e1bca"/>
    <x v="21"/>
    <x v="41"/>
    <x v="0"/>
    <x v="0"/>
    <x v="2"/>
    <n v="1.2073170731707299"/>
    <n v="1176.02227258382"/>
  </r>
  <r>
    <s v="17f23c47-4fbc-c983-e3da-0eb43aad0d3d"/>
    <x v="2"/>
    <x v="13"/>
    <x v="0"/>
    <x v="0"/>
    <x v="9"/>
    <n v="1.61788617886178"/>
    <n v="1386.2278613815899"/>
  </r>
  <r>
    <s v="17fd9e6f-9484-fe63-a756-b82c962cae6a"/>
    <x v="28"/>
    <x v="23"/>
    <x v="0"/>
    <x v="0"/>
    <x v="1"/>
    <n v="0.66666666666666596"/>
    <n v="613.40037359173596"/>
  </r>
  <r>
    <s v="18840839-87a1-6de3-53be-a5b0d8f13a2d"/>
    <x v="1"/>
    <x v="30"/>
    <x v="0"/>
    <x v="0"/>
    <x v="8"/>
    <n v="0.19512195121951201"/>
    <n v="157.91881599684399"/>
  </r>
  <r>
    <s v="1891b9f1-295d-a90d-e22b-a3352c996051"/>
    <x v="6"/>
    <x v="22"/>
    <x v="1"/>
    <x v="0"/>
    <x v="8"/>
    <n v="0.19512195121951201"/>
    <n v="524.23326028232498"/>
  </r>
  <r>
    <s v="18a9c8d8-4c54-f4ce-6290-24a1f119e9ea"/>
    <x v="22"/>
    <x v="13"/>
    <x v="1"/>
    <x v="0"/>
    <x v="4"/>
    <n v="1.70325203252032"/>
    <n v="4201.0610517374898"/>
  </r>
  <r>
    <s v="18b8e812-60f4-0540-2b87-d642675eaf12"/>
    <x v="1"/>
    <x v="41"/>
    <x v="0"/>
    <x v="0"/>
    <x v="1"/>
    <n v="0.66666666666666596"/>
    <n v="649.38603603955198"/>
  </r>
  <r>
    <s v="18bd4654-196d-1c1f-6548-3abd8f400e30"/>
    <x v="25"/>
    <x v="21"/>
    <x v="1"/>
    <x v="0"/>
    <x v="0"/>
    <n v="1.1544715447154399"/>
    <n v="3330.81346037085"/>
  </r>
  <r>
    <s v="18ce4b2a-b3dd-5cfb-e428-c294deb578d1"/>
    <x v="2"/>
    <x v="10"/>
    <x v="1"/>
    <x v="0"/>
    <x v="7"/>
    <n v="0.46341463414634099"/>
    <n v="1126.8343929863099"/>
  </r>
  <r>
    <s v="18cf29bd-9e75-462d-14da-c7e52939c77e"/>
    <x v="6"/>
    <x v="10"/>
    <x v="0"/>
    <x v="0"/>
    <x v="5"/>
    <n v="0.53252032520325199"/>
    <n v="449.81415669699697"/>
  </r>
  <r>
    <s v="18de6674-1161-683b-9858-e2d969bd3a70"/>
    <x v="38"/>
    <x v="16"/>
    <x v="1"/>
    <x v="0"/>
    <x v="8"/>
    <n v="0.19512195121951201"/>
    <n v="484.70898586207898"/>
  </r>
  <r>
    <s v="18f41401-2847-a1c7-4fbd-dd6e64eac815"/>
    <x v="15"/>
    <x v="24"/>
    <x v="1"/>
    <x v="0"/>
    <x v="3"/>
    <n v="1.11788617886178"/>
    <n v="2549.37758665204"/>
  </r>
  <r>
    <s v="1928ef34-a56e-56ab-a380-64607b8c58d7"/>
    <x v="15"/>
    <x v="18"/>
    <x v="0"/>
    <x v="1"/>
    <x v="8"/>
    <n v="0.19512195121951201"/>
    <n v="222.33422001356701"/>
  </r>
  <r>
    <s v="1938aa47-0c56-9329-52a2-686cb2b1e5ba"/>
    <x v="28"/>
    <x v="46"/>
    <x v="0"/>
    <x v="0"/>
    <x v="2"/>
    <n v="1.2073170731707299"/>
    <n v="1005.37607450673"/>
  </r>
  <r>
    <s v="193c6dd8-60b4-8176-44f1-a0737841427c"/>
    <x v="17"/>
    <x v="22"/>
    <x v="0"/>
    <x v="0"/>
    <x v="8"/>
    <n v="0.19512195121951201"/>
    <n v="182.108892349738"/>
  </r>
  <r>
    <s v="19697b63-6138-e265-6b13-5f348379267e"/>
    <x v="13"/>
    <x v="19"/>
    <x v="1"/>
    <x v="0"/>
    <x v="8"/>
    <n v="0.19512195121951201"/>
    <n v="575.11911118025"/>
  </r>
  <r>
    <s v="197dd63f-3c27-444b-103d-37485b862eeb"/>
    <x v="4"/>
    <x v="43"/>
    <x v="1"/>
    <x v="0"/>
    <x v="7"/>
    <n v="0.46341463414634099"/>
    <n v="1072.00311711361"/>
  </r>
  <r>
    <s v="19c11d5a-195b-c377-8c2b-ac232c6f5fc6"/>
    <x v="7"/>
    <x v="33"/>
    <x v="0"/>
    <x v="0"/>
    <x v="7"/>
    <n v="0.46341463414634099"/>
    <n v="513.18209478791698"/>
  </r>
  <r>
    <s v="19cc6731-1da6-47bf-f122-f2d19e46e496"/>
    <x v="1"/>
    <x v="40"/>
    <x v="0"/>
    <x v="0"/>
    <x v="6"/>
    <n v="1.1341463414634101"/>
    <n v="1128.6203894441701"/>
  </r>
  <r>
    <s v="19cccd78-6ffd-fcf7-d7c4-aee30323d576"/>
    <x v="13"/>
    <x v="9"/>
    <x v="1"/>
    <x v="0"/>
    <x v="0"/>
    <n v="1.1544715447154399"/>
    <n v="3654.1261723913599"/>
  </r>
  <r>
    <s v="19dcd444-85c7-aaa4-69ec-e72e6525ef87"/>
    <x v="22"/>
    <x v="12"/>
    <x v="1"/>
    <x v="0"/>
    <x v="3"/>
    <n v="1.11788617886178"/>
    <n v="3342.25039465093"/>
  </r>
  <r>
    <s v="19e056f2-87e4-026d-dece-e53cce50add6"/>
    <x v="6"/>
    <x v="42"/>
    <x v="1"/>
    <x v="0"/>
    <x v="8"/>
    <n v="0.19512195121951201"/>
    <n v="543.24894296961099"/>
  </r>
  <r>
    <s v="19e4a895-5c43-f6da-7a0d-8488731e7b01"/>
    <x v="17"/>
    <x v="23"/>
    <x v="1"/>
    <x v="0"/>
    <x v="8"/>
    <n v="0.19512195121951201"/>
    <n v="516.814683556761"/>
  </r>
  <r>
    <s v="1a01473d-f19f-2bd8-afd3-1496dabf4dc8"/>
    <x v="39"/>
    <x v="2"/>
    <x v="0"/>
    <x v="0"/>
    <x v="5"/>
    <n v="0.53252032520325199"/>
    <n v="453.03106501551599"/>
  </r>
  <r>
    <s v="1a0cdc8a-a926-a612-91cf-bd42c457afc8"/>
    <x v="40"/>
    <x v="7"/>
    <x v="1"/>
    <x v="1"/>
    <x v="7"/>
    <n v="0.46341463414634099"/>
    <n v="1530.94013114174"/>
  </r>
  <r>
    <s v="1a39efbd-1c7b-a047-3c6d-85a159503b09"/>
    <x v="17"/>
    <x v="32"/>
    <x v="1"/>
    <x v="0"/>
    <x v="3"/>
    <n v="1.11788617886178"/>
    <n v="2796.8385121320898"/>
  </r>
  <r>
    <s v="1a4e7255-99f8-6e1b-5ddf-9f1da82d7d80"/>
    <x v="1"/>
    <x v="0"/>
    <x v="1"/>
    <x v="0"/>
    <x v="4"/>
    <n v="1.70325203252032"/>
    <n v="4291.8406020360899"/>
  </r>
  <r>
    <s v="1ab332c2-c5db-e2c0-d1a9-a32c0e83510f"/>
    <x v="30"/>
    <x v="40"/>
    <x v="1"/>
    <x v="0"/>
    <x v="6"/>
    <n v="1.1341463414634101"/>
    <n v="3248.9371537286002"/>
  </r>
  <r>
    <s v="1ac92182-cc74-deb2-9f6a-96c0cb670002"/>
    <x v="7"/>
    <x v="0"/>
    <x v="1"/>
    <x v="0"/>
    <x v="0"/>
    <n v="1.1544715447154399"/>
    <n v="2909.0279975614499"/>
  </r>
  <r>
    <s v="1ac9ce8a-d805-fd87-1e1b-621ef17e8e5f"/>
    <x v="33"/>
    <x v="46"/>
    <x v="0"/>
    <x v="0"/>
    <x v="1"/>
    <n v="0.66666666666666596"/>
    <n v="555.15715898688302"/>
  </r>
  <r>
    <s v="1afdc65e-3e71-e077-3262-747d306c2296"/>
    <x v="27"/>
    <x v="30"/>
    <x v="0"/>
    <x v="0"/>
    <x v="0"/>
    <n v="1.1544715447154399"/>
    <n v="934.35299464799596"/>
  </r>
  <r>
    <s v="1b0eb74c-a785-606d-cec0-d29ee8ead3f5"/>
    <x v="7"/>
    <x v="28"/>
    <x v="0"/>
    <x v="0"/>
    <x v="2"/>
    <n v="1.2073170731707299"/>
    <n v="1095.1331113604999"/>
  </r>
  <r>
    <s v="1b3a4b2a-e3a7-eea4-1d40-a71f6879205a"/>
    <x v="41"/>
    <x v="23"/>
    <x v="1"/>
    <x v="0"/>
    <x v="8"/>
    <n v="0.19512195121951201"/>
    <n v="516.814683556761"/>
  </r>
  <r>
    <s v="1b4bfcea-249b-13a0-11a9-2d3b102e8f67"/>
    <x v="1"/>
    <x v="21"/>
    <x v="1"/>
    <x v="0"/>
    <x v="6"/>
    <n v="1.1341463414634101"/>
    <n v="3272.17237832207"/>
  </r>
  <r>
    <s v="1b58a53b-77d7-1b2f-b780-c12e4a0c8293"/>
    <x v="6"/>
    <x v="37"/>
    <x v="1"/>
    <x v="0"/>
    <x v="2"/>
    <n v="1.2073170731707299"/>
    <n v="2873.6052000800501"/>
  </r>
  <r>
    <s v="1b764e45-e18e-b2ff-a241-34f12d96005b"/>
    <x v="6"/>
    <x v="31"/>
    <x v="0"/>
    <x v="0"/>
    <x v="3"/>
    <n v="1.11788617886178"/>
    <n v="1211.75479416899"/>
  </r>
  <r>
    <s v="1b9698ee-2f85-03fe-d1f9-4b53081529d7"/>
    <x v="28"/>
    <x v="0"/>
    <x v="0"/>
    <x v="0"/>
    <x v="1"/>
    <n v="0.66666666666666596"/>
    <n v="583.55257580160003"/>
  </r>
  <r>
    <s v="1b98eecf-c003-7656-4c64-0b71958a8fd5"/>
    <x v="8"/>
    <x v="29"/>
    <x v="1"/>
    <x v="0"/>
    <x v="7"/>
    <n v="0.46341463414634099"/>
    <n v="1236.21304415635"/>
  </r>
  <r>
    <s v="1bd3c81d-0e89-6043-b5f1-3f7f58795466"/>
    <x v="6"/>
    <x v="6"/>
    <x v="0"/>
    <x v="0"/>
    <x v="6"/>
    <n v="1.1341463414634101"/>
    <n v="1089.1145837213801"/>
  </r>
  <r>
    <s v="1c084718-d9b0-b2a9-b2d0-3909a186624e"/>
    <x v="4"/>
    <x v="23"/>
    <x v="0"/>
    <x v="0"/>
    <x v="6"/>
    <n v="1.1341463414634101"/>
    <n v="1043.5286843420299"/>
  </r>
  <r>
    <s v="1c331146-afee-3394-c777-c658fab3bfc0"/>
    <x v="29"/>
    <x v="5"/>
    <x v="1"/>
    <x v="0"/>
    <x v="8"/>
    <n v="0.19512195121951201"/>
    <n v="579.23215525711896"/>
  </r>
  <r>
    <s v="1c38712d-4a5a-ab7f-02fa-9804981ceb56"/>
    <x v="29"/>
    <x v="0"/>
    <x v="1"/>
    <x v="0"/>
    <x v="9"/>
    <n v="1.61788617886178"/>
    <n v="4076.7364191178099"/>
  </r>
  <r>
    <s v="1c5d7238-d7e9-96c6-f217-10cbcedcbce0"/>
    <x v="42"/>
    <x v="4"/>
    <x v="0"/>
    <x v="0"/>
    <x v="6"/>
    <n v="1.1341463414634101"/>
    <n v="1238.17240227656"/>
  </r>
  <r>
    <s v="1c624955-1558-ba55-1b0b-876830897e95"/>
    <x v="17"/>
    <x v="7"/>
    <x v="1"/>
    <x v="0"/>
    <x v="5"/>
    <n v="0.53252032520325199"/>
    <n v="1638.16272534008"/>
  </r>
  <r>
    <s v="1c94f066-a29e-dd90-9a02-aa1d263fa3d5"/>
    <x v="38"/>
    <x v="29"/>
    <x v="0"/>
    <x v="0"/>
    <x v="1"/>
    <n v="0.66666666666666596"/>
    <n v="617.78719142530394"/>
  </r>
  <r>
    <s v="1c98eef4-c40e-a9a8-08da-a460b2ce1b1c"/>
    <x v="1"/>
    <x v="29"/>
    <x v="1"/>
    <x v="0"/>
    <x v="1"/>
    <n v="0.66666666666666596"/>
    <n v="1778.4117477336999"/>
  </r>
  <r>
    <s v="1cd1ae59-9541-7ac7-badc-fcf1cbce8a97"/>
    <x v="7"/>
    <x v="34"/>
    <x v="0"/>
    <x v="0"/>
    <x v="5"/>
    <n v="0.53252032520325199"/>
    <n v="504.13974629292801"/>
  </r>
  <r>
    <s v="1cea4cea-7c6b-ce1c-3b96-1d520f010755"/>
    <x v="2"/>
    <x v="7"/>
    <x v="1"/>
    <x v="0"/>
    <x v="4"/>
    <n v="1.70325203252032"/>
    <n v="5239.6197092938701"/>
  </r>
  <r>
    <s v="1d35b669-d433-4348-42e9-408614eb8cf7"/>
    <x v="43"/>
    <x v="4"/>
    <x v="1"/>
    <x v="0"/>
    <x v="5"/>
    <n v="0.53252032520325199"/>
    <n v="1673.56132433469"/>
  </r>
  <r>
    <s v="1d6545e1-c5d6-94d7-bb9e-1fc65cd205f9"/>
    <x v="13"/>
    <x v="37"/>
    <x v="0"/>
    <x v="0"/>
    <x v="5"/>
    <n v="0.53252032520325199"/>
    <n v="440.299840894233"/>
  </r>
  <r>
    <s v="1d857124-76bd-7e2d-fe14-c1ca872a5b34"/>
    <x v="6"/>
    <x v="16"/>
    <x v="0"/>
    <x v="0"/>
    <x v="1"/>
    <n v="0.66666666666666596"/>
    <n v="575.29455425856895"/>
  </r>
  <r>
    <s v="1d85cdac-69d5-7f4d-46d3-e68034c2e753"/>
    <x v="1"/>
    <x v="45"/>
    <x v="1"/>
    <x v="0"/>
    <x v="0"/>
    <n v="1.1544715447154399"/>
    <n v="3378.62536665077"/>
  </r>
  <r>
    <s v="1d9aea96-a951-6016-e52a-924b2927c555"/>
    <x v="28"/>
    <x v="43"/>
    <x v="0"/>
    <x v="0"/>
    <x v="1"/>
    <n v="0.66666666666666596"/>
    <n v="535.72464556281102"/>
  </r>
  <r>
    <s v="1db062e4-93bb-2d26-bdf0-f53c25278d45"/>
    <x v="33"/>
    <x v="15"/>
    <x v="0"/>
    <x v="0"/>
    <x v="9"/>
    <n v="1.61788617886178"/>
    <n v="1633.11394812406"/>
  </r>
  <r>
    <s v="1dbb1a75-dbec-fce5-eaa5-1c4079042236"/>
    <x v="39"/>
    <x v="16"/>
    <x v="1"/>
    <x v="0"/>
    <x v="8"/>
    <n v="0.19512195121951201"/>
    <n v="484.70898586207898"/>
  </r>
  <r>
    <s v="1dbdf00a-ccbb-795d-4fc1-2ba8e5d6907f"/>
    <x v="6"/>
    <x v="18"/>
    <x v="0"/>
    <x v="1"/>
    <x v="2"/>
    <n v="1.2073170731707299"/>
    <n v="1375.6929863339401"/>
  </r>
  <r>
    <s v="1ddf1291-eb27-c8f3-7fa4-ab05dbcfae37"/>
    <x v="28"/>
    <x v="47"/>
    <x v="1"/>
    <x v="0"/>
    <x v="0"/>
    <n v="1.1544715447154399"/>
    <n v="2728.3125952197202"/>
  </r>
  <r>
    <s v="1de3da89-5715-176f-d6a8-bcc5c46e2efb"/>
    <x v="28"/>
    <x v="29"/>
    <x v="0"/>
    <x v="0"/>
    <x v="7"/>
    <n v="0.46341463414634099"/>
    <n v="429.43743794198002"/>
  </r>
  <r>
    <s v="1df1361c-8783-f418-cbb1-063150f588bc"/>
    <x v="22"/>
    <x v="40"/>
    <x v="0"/>
    <x v="0"/>
    <x v="2"/>
    <n v="1.2073170731707299"/>
    <n v="1201.4346081179899"/>
  </r>
  <r>
    <s v="1e0186d5-cccc-7ffa-1eb6-7618211c1ff2"/>
    <x v="28"/>
    <x v="43"/>
    <x v="1"/>
    <x v="0"/>
    <x v="8"/>
    <n v="0.19512195121951201"/>
    <n v="451.36973352152"/>
  </r>
  <r>
    <s v="1e748d9c-9565-0695-233d-c7f97b067c50"/>
    <x v="39"/>
    <x v="47"/>
    <x v="0"/>
    <x v="0"/>
    <x v="9"/>
    <n v="1.61788617886178"/>
    <n v="1328.20601065045"/>
  </r>
  <r>
    <s v="1e812bb8-7ed2-ad57-dad7-5f8075baf79e"/>
    <x v="28"/>
    <x v="37"/>
    <x v="0"/>
    <x v="0"/>
    <x v="9"/>
    <n v="1.61788617886178"/>
    <n v="1337.7048601214101"/>
  </r>
  <r>
    <s v="1e9d1549-21bc-656a-81f8-1e0d75880449"/>
    <x v="13"/>
    <x v="47"/>
    <x v="1"/>
    <x v="0"/>
    <x v="7"/>
    <n v="0.46341463414634099"/>
    <n v="1095.16773188397"/>
  </r>
  <r>
    <s v="1ead133f-f345-73a2-9669-5de75f0e1e58"/>
    <x v="6"/>
    <x v="25"/>
    <x v="1"/>
    <x v="0"/>
    <x v="0"/>
    <n v="1.1544715447154399"/>
    <n v="2950.7854167744699"/>
  </r>
  <r>
    <s v="1ece2fb0-d255-e3ed-bd98-5ca22c7a81c4"/>
    <x v="1"/>
    <x v="6"/>
    <x v="0"/>
    <x v="0"/>
    <x v="4"/>
    <n v="1.70325203252032"/>
    <n v="1635.6236938324701"/>
  </r>
  <r>
    <s v="1ef84cf1-b850-71f5-7044-ac10161ad867"/>
    <x v="1"/>
    <x v="7"/>
    <x v="0"/>
    <x v="1"/>
    <x v="5"/>
    <n v="0.53252032520325199"/>
    <n v="611.12666451198595"/>
  </r>
  <r>
    <s v="1f0408f1-8f2e-a137-d22a-7c52b4f455bb"/>
    <x v="20"/>
    <x v="44"/>
    <x v="1"/>
    <x v="0"/>
    <x v="0"/>
    <n v="1.1544715447154399"/>
    <n v="2708.9392405850199"/>
  </r>
  <r>
    <s v="1f40ce3f-9a3c-1005-772c-ffa7b8dd24d6"/>
    <x v="2"/>
    <x v="18"/>
    <x v="1"/>
    <x v="0"/>
    <x v="4"/>
    <n v="1.70325203252032"/>
    <n v="5202.4139246792402"/>
  </r>
  <r>
    <s v="1f510d8e-b9f5-adf3-3c2a-4c64489dedba"/>
    <x v="13"/>
    <x v="16"/>
    <x v="0"/>
    <x v="0"/>
    <x v="9"/>
    <n v="1.61788617886178"/>
    <n v="1396.1416621640899"/>
  </r>
  <r>
    <s v="1f701dce-8df8-8d60-5a47-a1dce1094a9d"/>
    <x v="8"/>
    <x v="3"/>
    <x v="1"/>
    <x v="0"/>
    <x v="1"/>
    <n v="0.66666666666666596"/>
    <n v="2007.4512208712799"/>
  </r>
  <r>
    <s v="1f8debcc-6382-9dee-9440-e94f8a5a3d0a"/>
    <x v="1"/>
    <x v="45"/>
    <x v="1"/>
    <x v="0"/>
    <x v="8"/>
    <n v="0.19512195121951201"/>
    <n v="571.03527323674996"/>
  </r>
  <r>
    <s v="1f94cc5e-e74d-cd88-fa2d-8f000a80377e"/>
    <x v="13"/>
    <x v="32"/>
    <x v="0"/>
    <x v="0"/>
    <x v="7"/>
    <n v="0.46341463414634099"/>
    <n v="402.759812479679"/>
  </r>
  <r>
    <s v="1f9714af-4933-ea70-c257-65369ef8d3c3"/>
    <x v="28"/>
    <x v="18"/>
    <x v="1"/>
    <x v="0"/>
    <x v="8"/>
    <n v="0.19512195121951201"/>
    <n v="595.98059280334996"/>
  </r>
  <r>
    <s v="1f9d9fcb-ce0b-8459-964b-a91a14c5a156"/>
    <x v="1"/>
    <x v="26"/>
    <x v="1"/>
    <x v="0"/>
    <x v="3"/>
    <n v="1.11788617886178"/>
    <n v="3390.2264715265401"/>
  </r>
  <r>
    <s v="1fca1659-99e9-05d2-9144-c25458ad84d6"/>
    <x v="25"/>
    <x v="36"/>
    <x v="0"/>
    <x v="0"/>
    <x v="3"/>
    <n v="1.11788617886178"/>
    <n v="1096.69699902618"/>
  </r>
  <r>
    <s v="1fead699-a1a4-75ef-fad6-4d915d8b9310"/>
    <x v="9"/>
    <x v="46"/>
    <x v="1"/>
    <x v="0"/>
    <x v="0"/>
    <n v="1.1544715447154399"/>
    <n v="2767.4759490541401"/>
  </r>
  <r>
    <s v="20690f21-869a-4495-17a1-a0a2175ec341"/>
    <x v="28"/>
    <x v="5"/>
    <x v="0"/>
    <x v="0"/>
    <x v="9"/>
    <n v="1.61788617886178"/>
    <n v="1668.40344950747"/>
  </r>
  <r>
    <s v="20809919-b376-f14a-862f-fc0bd5d74fb8"/>
    <x v="1"/>
    <x v="28"/>
    <x v="0"/>
    <x v="0"/>
    <x v="9"/>
    <n v="1.61788617886178"/>
    <n v="1467.55211556054"/>
  </r>
  <r>
    <s v="20e470ba-cc00-82ab-9004-cbb0412b9652"/>
    <x v="23"/>
    <x v="14"/>
    <x v="0"/>
    <x v="0"/>
    <x v="5"/>
    <n v="0.53252032520325199"/>
    <n v="476.20289251136597"/>
  </r>
  <r>
    <s v="20fbc928-4b23-af2a-d6f2-617a13e531a1"/>
    <x v="29"/>
    <x v="21"/>
    <x v="1"/>
    <x v="0"/>
    <x v="5"/>
    <n v="0.53252032520325199"/>
    <n v="1536.3963496781"/>
  </r>
  <r>
    <s v="21092b59-4e82-4d4b-e705-6f6025aeda70"/>
    <x v="20"/>
    <x v="19"/>
    <x v="1"/>
    <x v="0"/>
    <x v="5"/>
    <n v="0.53252032520325199"/>
    <n v="1569.59590759609"/>
  </r>
  <r>
    <s v="21435abe-c2ed-baef-8466-ba61b721adbf"/>
    <x v="17"/>
    <x v="20"/>
    <x v="1"/>
    <x v="0"/>
    <x v="1"/>
    <n v="0.66666666666666596"/>
    <n v="1609.5490904246799"/>
  </r>
  <r>
    <s v="215303d5-9f6b-907e-c662-1ee68af420e7"/>
    <x v="8"/>
    <x v="44"/>
    <x v="1"/>
    <x v="0"/>
    <x v="2"/>
    <n v="1.2073170731707299"/>
    <n v="2832.9399804709501"/>
  </r>
  <r>
    <s v="219c8dfb-6831-cd73-c79a-6b498d3c3bd0"/>
    <x v="6"/>
    <x v="37"/>
    <x v="0"/>
    <x v="0"/>
    <x v="6"/>
    <n v="1.1341463414634101"/>
    <n v="937.737829080084"/>
  </r>
  <r>
    <s v="21ccff79-30e1-076b-82b9-81e80f0eeaaf"/>
    <x v="7"/>
    <x v="15"/>
    <x v="1"/>
    <x v="0"/>
    <x v="2"/>
    <n v="1.2073170731707299"/>
    <n v="3508.1914356105799"/>
  </r>
  <r>
    <s v="21eddf68-6f6d-ec67-e48d-8fbddf8bbded"/>
    <x v="1"/>
    <x v="7"/>
    <x v="0"/>
    <x v="0"/>
    <x v="8"/>
    <n v="0.19512195121951201"/>
    <n v="208.51320454811801"/>
  </r>
  <r>
    <s v="220e03b8-dccf-2c08-dfa1-94f59c606546"/>
    <x v="6"/>
    <x v="27"/>
    <x v="0"/>
    <x v="0"/>
    <x v="2"/>
    <n v="1.2073170731707299"/>
    <n v="1299.40232180661"/>
  </r>
  <r>
    <s v="2237daa9-4849-d846-4df4-e3cd1931a36e"/>
    <x v="38"/>
    <x v="14"/>
    <x v="0"/>
    <x v="0"/>
    <x v="1"/>
    <n v="0.66666666666666596"/>
    <n v="596.16239978522106"/>
  </r>
  <r>
    <s v="226bbddf-9a84-fcc4-9010-7898ffc20471"/>
    <x v="15"/>
    <x v="23"/>
    <x v="1"/>
    <x v="0"/>
    <x v="8"/>
    <n v="0.19512195121951201"/>
    <n v="516.814683556761"/>
  </r>
  <r>
    <s v="22798f2c-45b8-e229-94d1-9003a2ba574e"/>
    <x v="17"/>
    <x v="24"/>
    <x v="0"/>
    <x v="0"/>
    <x v="2"/>
    <n v="1.2073170731707299"/>
    <n v="956.45490806008399"/>
  </r>
  <r>
    <s v="2286b8c7-0c99-d9c1-da32-1cbec57ca3af"/>
    <x v="17"/>
    <x v="9"/>
    <x v="0"/>
    <x v="0"/>
    <x v="1"/>
    <n v="0.66666666666666596"/>
    <n v="733.01966910958595"/>
  </r>
  <r>
    <s v="229a5a31-b40f-0b16-8036-09b4a7740b5f"/>
    <x v="2"/>
    <x v="32"/>
    <x v="1"/>
    <x v="0"/>
    <x v="6"/>
    <n v="1.1341463414634101"/>
    <n v="2837.51979958128"/>
  </r>
  <r>
    <s v="22bb5c4f-e4a4-c059-31ef-1dd2b2330c1c"/>
    <x v="13"/>
    <x v="30"/>
    <x v="1"/>
    <x v="0"/>
    <x v="2"/>
    <n v="1.2073170731707299"/>
    <n v="2812.8236818486298"/>
  </r>
  <r>
    <s v="22c1f4e2-47b6-e18f-32fd-ba5efee033f5"/>
    <x v="1"/>
    <x v="6"/>
    <x v="1"/>
    <x v="0"/>
    <x v="1"/>
    <n v="0.66666666666666596"/>
    <n v="1842.92065253695"/>
  </r>
  <r>
    <s v="22deb9a6-8c0a-9f58-effc-4e4ea6a7c613"/>
    <x v="1"/>
    <x v="47"/>
    <x v="1"/>
    <x v="0"/>
    <x v="5"/>
    <n v="0.53252032520325199"/>
    <n v="1258.4822182175401"/>
  </r>
  <r>
    <s v="232bb91c-c84d-8caa-f309-412867eee911"/>
    <x v="37"/>
    <x v="36"/>
    <x v="1"/>
    <x v="0"/>
    <x v="9"/>
    <n v="1.61788617886178"/>
    <n v="4569.0977783557"/>
  </r>
  <r>
    <s v="234a3cb7-ee41-277e-ed91-0ca0654a6c2c"/>
    <x v="32"/>
    <x v="42"/>
    <x v="1"/>
    <x v="0"/>
    <x v="5"/>
    <n v="0.53252032520325199"/>
    <n v="1482.6169068545601"/>
  </r>
  <r>
    <s v="2353ff35-d921-e61f-fd23-ea4aa7c0a16c"/>
    <x v="1"/>
    <x v="18"/>
    <x v="1"/>
    <x v="0"/>
    <x v="9"/>
    <n v="1.61788617886178"/>
    <n v="4941.6724153277801"/>
  </r>
  <r>
    <s v="237b3366-63e7-0d30-1144-a7c92c443cbe"/>
    <x v="13"/>
    <x v="37"/>
    <x v="1"/>
    <x v="0"/>
    <x v="7"/>
    <n v="0.46341463414634099"/>
    <n v="1102.9999757882999"/>
  </r>
  <r>
    <s v="238319b6-450b-11af-e6ab-e40774057d06"/>
    <x v="10"/>
    <x v="28"/>
    <x v="0"/>
    <x v="0"/>
    <x v="7"/>
    <n v="0.46341463414634099"/>
    <n v="420.35412355251702"/>
  </r>
  <r>
    <s v="23842f89-aea0-e293-f7da-729c146f740e"/>
    <x v="6"/>
    <x v="10"/>
    <x v="1"/>
    <x v="0"/>
    <x v="7"/>
    <n v="0.46341463414634099"/>
    <n v="1126.8343929863099"/>
  </r>
  <r>
    <s v="239af229-87ea-5960-8910-684adbd2b23f"/>
    <x v="6"/>
    <x v="25"/>
    <x v="1"/>
    <x v="0"/>
    <x v="6"/>
    <n v="1.1341463414634101"/>
    <n v="2898.8349692960401"/>
  </r>
  <r>
    <s v="23fa6d30-7251-8615-cc68-06b01016d2c3"/>
    <x v="40"/>
    <x v="27"/>
    <x v="1"/>
    <x v="0"/>
    <x v="5"/>
    <n v="0.53252032520325199"/>
    <n v="1649.8782732386401"/>
  </r>
  <r>
    <s v="2440046c-5c29-7a5c-32d3-519533830355"/>
    <x v="15"/>
    <x v="44"/>
    <x v="0"/>
    <x v="0"/>
    <x v="9"/>
    <n v="1.61788617886178"/>
    <n v="1318.7746111409699"/>
  </r>
  <r>
    <s v="248ab0ca-0403-33b3-836f-cf8deb02a81f"/>
    <x v="1"/>
    <x v="10"/>
    <x v="1"/>
    <x v="0"/>
    <x v="1"/>
    <n v="0.66666666666666596"/>
    <n v="1621.0600039452199"/>
  </r>
  <r>
    <s v="2495fde3-ec6e-569e-8b3f-e2d9a94941d4"/>
    <x v="23"/>
    <x v="5"/>
    <x v="1"/>
    <x v="0"/>
    <x v="8"/>
    <n v="0.19512195121951201"/>
    <n v="579.23215525711896"/>
  </r>
  <r>
    <s v="24d4964f-b997-94b3-c8d8-4d575e8b5668"/>
    <x v="15"/>
    <x v="5"/>
    <x v="1"/>
    <x v="0"/>
    <x v="1"/>
    <n v="0.66666666666666596"/>
    <n v="1979.04319712849"/>
  </r>
  <r>
    <s v="25140f27-590c-efd3-8a99-6c6e01bd453f"/>
    <x v="27"/>
    <x v="41"/>
    <x v="1"/>
    <x v="0"/>
    <x v="8"/>
    <n v="0.19512195121951201"/>
    <n v="547.13406311900303"/>
  </r>
  <r>
    <s v="252175ba-94a3-fba9-7c57-b31ba20e6e16"/>
    <x v="15"/>
    <x v="10"/>
    <x v="0"/>
    <x v="0"/>
    <x v="3"/>
    <n v="1.11788617886178"/>
    <n v="944.26635947842999"/>
  </r>
  <r>
    <s v="253ff15b-7474-f7e2-af3a-7ecc31c8de8a"/>
    <x v="13"/>
    <x v="42"/>
    <x v="1"/>
    <x v="0"/>
    <x v="1"/>
    <n v="0.66666666666666596"/>
    <n v="1856.1005551461701"/>
  </r>
  <r>
    <s v="255f90c4-95f6-60a1-d878-ffa1e26e941c"/>
    <x v="2"/>
    <x v="23"/>
    <x v="0"/>
    <x v="0"/>
    <x v="2"/>
    <n v="1.2073170731707299"/>
    <n v="1110.85311558991"/>
  </r>
  <r>
    <s v="258d5eb7-b3a2-a953-32cc-57cc5004fbd2"/>
    <x v="13"/>
    <x v="34"/>
    <x v="0"/>
    <x v="0"/>
    <x v="2"/>
    <n v="1.2073170731707299"/>
    <n v="1142.97331793129"/>
  </r>
  <r>
    <s v="25b26b93-64fe-cee0-26d7-c8ae0b9b9f27"/>
    <x v="22"/>
    <x v="13"/>
    <x v="0"/>
    <x v="0"/>
    <x v="0"/>
    <n v="1.1544715447154399"/>
    <n v="989.167619679327"/>
  </r>
  <r>
    <s v="25f57cd1-c2d6-46ae-355b-cde8122a6662"/>
    <x v="22"/>
    <x v="33"/>
    <x v="1"/>
    <x v="1"/>
    <x v="5"/>
    <n v="0.53252032520325199"/>
    <n v="1823.0516381324601"/>
  </r>
  <r>
    <s v="2603266b-cead-8110-58ff-bd8bbf33c5d5"/>
    <x v="28"/>
    <x v="15"/>
    <x v="1"/>
    <x v="0"/>
    <x v="8"/>
    <n v="0.19512195121951201"/>
    <n v="566.98043403807299"/>
  </r>
  <r>
    <s v="2608537e-9c4a-aac8-0807-4f08bc3f4615"/>
    <x v="1"/>
    <x v="43"/>
    <x v="0"/>
    <x v="0"/>
    <x v="8"/>
    <n v="0.19512195121951201"/>
    <n v="156.797457237896"/>
  </r>
  <r>
    <s v="262e90cf-e418-a26b-67ca-62f939637b38"/>
    <x v="24"/>
    <x v="23"/>
    <x v="0"/>
    <x v="0"/>
    <x v="5"/>
    <n v="0.53252032520325199"/>
    <n v="489.97224963730099"/>
  </r>
  <r>
    <s v="26467d32-4cb0-ec38-2f3e-7d96b28e307d"/>
    <x v="40"/>
    <x v="33"/>
    <x v="1"/>
    <x v="0"/>
    <x v="6"/>
    <n v="1.1341463414634101"/>
    <n v="3615.4658673270201"/>
  </r>
  <r>
    <s v="2652c605-d009-ccc0-f180-8d6310cfc444"/>
    <x v="21"/>
    <x v="38"/>
    <x v="1"/>
    <x v="0"/>
    <x v="0"/>
    <n v="1.1544715447154399"/>
    <n v="3123.89579057848"/>
  </r>
  <r>
    <s v="2663ba1a-2466-5e8b-5f8b-7f52b971f6fb"/>
    <x v="36"/>
    <x v="32"/>
    <x v="0"/>
    <x v="0"/>
    <x v="6"/>
    <n v="1.1341463414634101"/>
    <n v="985.701646331848"/>
  </r>
  <r>
    <s v="267a5914-6d87-bbef-275a-b559ac2301d9"/>
    <x v="0"/>
    <x v="41"/>
    <x v="0"/>
    <x v="0"/>
    <x v="6"/>
    <n v="1.1341463414634101"/>
    <n v="1104.7481954575301"/>
  </r>
  <r>
    <s v="267c5d52-3d39-8a42-399f-774325bd7fea"/>
    <x v="27"/>
    <x v="19"/>
    <x v="0"/>
    <x v="0"/>
    <x v="6"/>
    <n v="1.1341463414634101"/>
    <n v="1161.2543306617799"/>
  </r>
  <r>
    <s v="26841241-4d12-ed5b-af4a-fdc7191c8a6e"/>
    <x v="38"/>
    <x v="28"/>
    <x v="0"/>
    <x v="0"/>
    <x v="5"/>
    <n v="0.53252032520325199"/>
    <n v="483.03851039806801"/>
  </r>
  <r>
    <s v="26bdac2c-a76f-31f0-0610-8a53a0286da6"/>
    <x v="34"/>
    <x v="47"/>
    <x v="1"/>
    <x v="0"/>
    <x v="6"/>
    <n v="1.1341463414634101"/>
    <n v="2680.2789227686699"/>
  </r>
  <r>
    <s v="26e879a8-b255-c16f-471c-ba074798c174"/>
    <x v="1"/>
    <x v="30"/>
    <x v="0"/>
    <x v="0"/>
    <x v="2"/>
    <n v="1.2073170731707299"/>
    <n v="977.12267398047504"/>
  </r>
  <r>
    <s v="27039305-5b26-08b2-7283-df5c64271097"/>
    <x v="13"/>
    <x v="13"/>
    <x v="1"/>
    <x v="0"/>
    <x v="7"/>
    <n v="0.46341463414634099"/>
    <n v="1143.00945083072"/>
  </r>
  <r>
    <s v="271c55c8-9ca0-a49a-33c0-969723cfdeec"/>
    <x v="35"/>
    <x v="19"/>
    <x v="1"/>
    <x v="0"/>
    <x v="3"/>
    <n v="1.11788617886178"/>
    <n v="3294.95324113685"/>
  </r>
  <r>
    <s v="27829e39-c910-9620-b684-fcf75d82a54a"/>
    <x v="28"/>
    <x v="27"/>
    <x v="0"/>
    <x v="0"/>
    <x v="8"/>
    <n v="0.19512195121951201"/>
    <n v="210.00441564551301"/>
  </r>
  <r>
    <s v="2816e975-1d72-5569-85f8-8df81ea5f596"/>
    <x v="13"/>
    <x v="2"/>
    <x v="1"/>
    <x v="0"/>
    <x v="8"/>
    <n v="0.19512195121951201"/>
    <n v="477.84972859318401"/>
  </r>
  <r>
    <s v="284739d1-cb19-1959-8060-7c626d92d0b2"/>
    <x v="30"/>
    <x v="39"/>
    <x v="1"/>
    <x v="0"/>
    <x v="3"/>
    <n v="1.11788617886178"/>
    <n v="3179.6179310294701"/>
  </r>
  <r>
    <s v="2880b17f-e6e3-f2e7-6a59-2505a8a333a5"/>
    <x v="17"/>
    <x v="11"/>
    <x v="1"/>
    <x v="0"/>
    <x v="5"/>
    <n v="0.53252032520325199"/>
    <n v="1223.11594775609"/>
  </r>
  <r>
    <s v="28a43834-2ee9-51bb-9410-eed6d7422728"/>
    <x v="13"/>
    <x v="21"/>
    <x v="1"/>
    <x v="0"/>
    <x v="1"/>
    <n v="0.66666666666666596"/>
    <n v="1923.4274912000701"/>
  </r>
  <r>
    <s v="28f47a17-2292-bf4c-17c1-fa8d07d73db4"/>
    <x v="10"/>
    <x v="8"/>
    <x v="1"/>
    <x v="0"/>
    <x v="5"/>
    <n v="0.53252032520325199"/>
    <n v="1380.6395542084299"/>
  </r>
  <r>
    <s v="28fb55dc-5918-6a86-0c94-340a106f7d98"/>
    <x v="1"/>
    <x v="8"/>
    <x v="0"/>
    <x v="0"/>
    <x v="8"/>
    <n v="0.19512195121951201"/>
    <n v="175.73442083668601"/>
  </r>
  <r>
    <s v="290c1bb0-68ab-9b8d-9079-ff09de5e0cd7"/>
    <x v="15"/>
    <x v="42"/>
    <x v="0"/>
    <x v="0"/>
    <x v="8"/>
    <n v="0.19512195121951201"/>
    <n v="188.71458713070399"/>
  </r>
  <r>
    <s v="293a551a-b1b5-e532-7009-8b62d365b171"/>
    <x v="6"/>
    <x v="7"/>
    <x v="1"/>
    <x v="0"/>
    <x v="3"/>
    <n v="1.11788617886178"/>
    <n v="3438.8912173169701"/>
  </r>
  <r>
    <s v="2955845e-558b-ab52-8c20-2244dc7bd533"/>
    <x v="28"/>
    <x v="6"/>
    <x v="0"/>
    <x v="0"/>
    <x v="6"/>
    <n v="1.1341463414634101"/>
    <n v="1089.1145837213801"/>
  </r>
  <r>
    <s v="2966dba1-9c64-7eb5-8f6a-15c4003ff177"/>
    <x v="30"/>
    <x v="13"/>
    <x v="1"/>
    <x v="0"/>
    <x v="5"/>
    <n v="0.53252032520325199"/>
    <n v="1313.45822858618"/>
  </r>
  <r>
    <s v="29a0dc2d-7506-27fd-054e-4b18fdb90696"/>
    <x v="13"/>
    <x v="25"/>
    <x v="0"/>
    <x v="0"/>
    <x v="9"/>
    <n v="1.61788617886178"/>
    <n v="1436.5109531680801"/>
  </r>
  <r>
    <s v="29ec4966-d700-77d1-c6da-3c566f05a7b3"/>
    <x v="2"/>
    <x v="31"/>
    <x v="0"/>
    <x v="0"/>
    <x v="3"/>
    <n v="1.11788617886178"/>
    <n v="1211.75479416899"/>
  </r>
  <r>
    <s v="29edbaa4-c0d4-9084-5a8e-0020a38d2e46"/>
    <x v="39"/>
    <x v="14"/>
    <x v="0"/>
    <x v="0"/>
    <x v="2"/>
    <n v="1.2073170731707299"/>
    <n v="1079.6355654647"/>
  </r>
  <r>
    <s v="2a0093a8-ea35-2cc4-5c98-bc7907dce933"/>
    <x v="17"/>
    <x v="0"/>
    <x v="1"/>
    <x v="0"/>
    <x v="8"/>
    <n v="0.19512195121951201"/>
    <n v="491.66670381320398"/>
  </r>
  <r>
    <s v="2a197d00-e677-509d-2273-dca35d2268d3"/>
    <x v="15"/>
    <x v="11"/>
    <x v="0"/>
    <x v="0"/>
    <x v="3"/>
    <n v="1.11788617886178"/>
    <n v="891.93993330478497"/>
  </r>
  <r>
    <s v="2a6ea712-60ca-7261-2bc6-cae186fd4a2e"/>
    <x v="2"/>
    <x v="5"/>
    <x v="1"/>
    <x v="0"/>
    <x v="5"/>
    <n v="0.53252032520325199"/>
    <n v="1580.82109038922"/>
  </r>
  <r>
    <s v="2b061423-a86b-c3fc-69a8-4e177b9df7fe"/>
    <x v="26"/>
    <x v="26"/>
    <x v="0"/>
    <x v="0"/>
    <x v="8"/>
    <n v="0.19512195121951201"/>
    <n v="205.562473788685"/>
  </r>
  <r>
    <s v="2b122089-aa80-4be3-e960-2b530c8f26c3"/>
    <x v="15"/>
    <x v="33"/>
    <x v="1"/>
    <x v="0"/>
    <x v="1"/>
    <n v="0.66666666666666596"/>
    <n v="2125.2200797191099"/>
  </r>
  <r>
    <s v="2b3a8f32-4dbc-e9f7-47cc-9747aee8e292"/>
    <x v="1"/>
    <x v="43"/>
    <x v="1"/>
    <x v="0"/>
    <x v="3"/>
    <n v="1.11788617886178"/>
    <n v="2585.9724316337001"/>
  </r>
  <r>
    <s v="2b84f2a9-85f6-cbcd-98de-3eed670739f7"/>
    <x v="21"/>
    <x v="15"/>
    <x v="0"/>
    <x v="0"/>
    <x v="0"/>
    <n v="1.1544715447154399"/>
    <n v="1165.3375911236999"/>
  </r>
  <r>
    <s v="2b933e4a-5a15-9316-4094-1a0aa04b47fe"/>
    <x v="6"/>
    <x v="45"/>
    <x v="1"/>
    <x v="0"/>
    <x v="8"/>
    <n v="0.19512195121951201"/>
    <n v="571.03527323674996"/>
  </r>
  <r>
    <s v="2bdcf348-ee7a-4286-e091-d06c254bb81f"/>
    <x v="27"/>
    <x v="24"/>
    <x v="1"/>
    <x v="0"/>
    <x v="5"/>
    <n v="0.53252032520325199"/>
    <n v="1214.4307776415101"/>
  </r>
  <r>
    <s v="2bf6660f-b6fb-5f7e-75a9-a89f69a160f4"/>
    <x v="17"/>
    <x v="32"/>
    <x v="1"/>
    <x v="0"/>
    <x v="7"/>
    <n v="0.46341463414634099"/>
    <n v="1159.41669230203"/>
  </r>
  <r>
    <s v="2c4fd5c4-12d3-5a46-8a31-bd8cb129fc60"/>
    <x v="28"/>
    <x v="42"/>
    <x v="1"/>
    <x v="0"/>
    <x v="9"/>
    <n v="1.61788617886178"/>
    <n v="4504.43915212302"/>
  </r>
  <r>
    <s v="2c5d93f0-b0ce-3038-bd3a-d8612f93674a"/>
    <x v="13"/>
    <x v="44"/>
    <x v="1"/>
    <x v="0"/>
    <x v="4"/>
    <n v="1.70325203252032"/>
    <n v="3996.63923170818"/>
  </r>
  <r>
    <s v="2c638c67-b375-f1e7-eac2-d22af56e3d80"/>
    <x v="7"/>
    <x v="35"/>
    <x v="0"/>
    <x v="0"/>
    <x v="6"/>
    <n v="1.1341463414634101"/>
    <n v="1036.1187375094501"/>
  </r>
  <r>
    <s v="2c70027c-59e7-e387-4498-585e7417d2fd"/>
    <x v="28"/>
    <x v="33"/>
    <x v="0"/>
    <x v="0"/>
    <x v="4"/>
    <n v="1.70325203252032"/>
    <n v="1886.16927821173"/>
  </r>
  <r>
    <s v="2c86eeb0-9aba-a5a1-93b9-cca5db0b2a1b"/>
    <x v="18"/>
    <x v="39"/>
    <x v="1"/>
    <x v="0"/>
    <x v="5"/>
    <n v="0.53252032520325199"/>
    <n v="1514.6543598722201"/>
  </r>
  <r>
    <s v="2c8b88e6-8a39-b276-7fd6-8f3bd9c468f5"/>
    <x v="1"/>
    <x v="42"/>
    <x v="0"/>
    <x v="0"/>
    <x v="2"/>
    <n v="1.2073170731707299"/>
    <n v="1167.67150787123"/>
  </r>
  <r>
    <s v="2ca4628c-2d61-b1df-5a4f-6aa3cbac1e21"/>
    <x v="6"/>
    <x v="30"/>
    <x v="1"/>
    <x v="0"/>
    <x v="2"/>
    <n v="1.2073170731707299"/>
    <n v="2812.8236818486298"/>
  </r>
  <r>
    <s v="2cd7a161-7290-d318-edf5-eaa06c62c2b0"/>
    <x v="44"/>
    <x v="13"/>
    <x v="1"/>
    <x v="0"/>
    <x v="7"/>
    <n v="0.46341463414634099"/>
    <n v="1143.00945083072"/>
  </r>
  <r>
    <s v="2cdb3deb-42af-5098-8e76-6a06f7941517"/>
    <x v="28"/>
    <x v="9"/>
    <x v="1"/>
    <x v="0"/>
    <x v="6"/>
    <n v="1.1341463414634101"/>
    <n v="3589.7929651309501"/>
  </r>
  <r>
    <s v="2cf2c26a-e10c-7072-b2af-5de80bdcdca0"/>
    <x v="15"/>
    <x v="34"/>
    <x v="0"/>
    <x v="0"/>
    <x v="0"/>
    <n v="1.1544715447154399"/>
    <n v="1092.9441828029801"/>
  </r>
  <r>
    <s v="2d027e26-068f-161e-6a36-51c20d06e989"/>
    <x v="1"/>
    <x v="3"/>
    <x v="0"/>
    <x v="0"/>
    <x v="7"/>
    <n v="0.46341463414634099"/>
    <n v="484.74416016596501"/>
  </r>
  <r>
    <s v="2d124b5e-ba4d-77f2-8d2a-18802227b5e8"/>
    <x v="7"/>
    <x v="31"/>
    <x v="0"/>
    <x v="0"/>
    <x v="4"/>
    <n v="1.70325203252032"/>
    <n v="1846.2736682065799"/>
  </r>
  <r>
    <s v="2d130040-215a-7daa-f3ab-4117004375f0"/>
    <x v="2"/>
    <x v="23"/>
    <x v="1"/>
    <x v="0"/>
    <x v="7"/>
    <n v="0.46341463414634099"/>
    <n v="1227.4348734473001"/>
  </r>
  <r>
    <s v="2d1df16e-f84d-6005-34e6-c947f1d152c2"/>
    <x v="13"/>
    <x v="43"/>
    <x v="1"/>
    <x v="0"/>
    <x v="4"/>
    <n v="1.70325203252032"/>
    <n v="3940.0816321982702"/>
  </r>
  <r>
    <s v="2d491bf4-859d-774b-4d10-653a4a0e60de"/>
    <x v="27"/>
    <x v="43"/>
    <x v="0"/>
    <x v="0"/>
    <x v="8"/>
    <n v="0.19512195121951201"/>
    <n v="156.797457237896"/>
  </r>
  <r>
    <s v="2d65fd91-5c62-910e-74cf-42be2cec0dd0"/>
    <x v="14"/>
    <x v="46"/>
    <x v="0"/>
    <x v="0"/>
    <x v="2"/>
    <n v="1.2073170731707299"/>
    <n v="1005.37607450673"/>
  </r>
  <r>
    <s v="2dc43aa4-0847-3ddf-4af2-4ddd5c544238"/>
    <x v="1"/>
    <x v="45"/>
    <x v="1"/>
    <x v="0"/>
    <x v="8"/>
    <n v="0.19512195121951201"/>
    <n v="571.03527323674996"/>
  </r>
  <r>
    <s v="2dd9c853-e059-2fe6-a36e-4a171fd3bcd7"/>
    <x v="2"/>
    <x v="43"/>
    <x v="1"/>
    <x v="0"/>
    <x v="9"/>
    <n v="1.61788617886178"/>
    <n v="3742.6073737826"/>
  </r>
  <r>
    <s v="2df2c41e-6b04-a726-5d84-387697b4c0cc"/>
    <x v="6"/>
    <x v="2"/>
    <x v="1"/>
    <x v="0"/>
    <x v="6"/>
    <n v="1.1341463414634101"/>
    <n v="2777.5015474478801"/>
  </r>
  <r>
    <s v="2e02275d-dd63-c985-8830-4949d2b9c9f7"/>
    <x v="35"/>
    <x v="1"/>
    <x v="1"/>
    <x v="0"/>
    <x v="0"/>
    <n v="1.1544715447154399"/>
    <n v="2929.8323146885"/>
  </r>
  <r>
    <s v="2e190873-934e-8496-f060-95d2e7a8e54b"/>
    <x v="4"/>
    <x v="12"/>
    <x v="1"/>
    <x v="0"/>
    <x v="4"/>
    <n v="1.70325203252032"/>
    <n v="5092.3742376681503"/>
  </r>
  <r>
    <s v="2e366f9d-49cc-cc2d-ba7c-c14d4315d75e"/>
    <x v="1"/>
    <x v="40"/>
    <x v="0"/>
    <x v="0"/>
    <x v="0"/>
    <n v="1.1544715447154399"/>
    <n v="1148.8465612980101"/>
  </r>
  <r>
    <s v="2e7988cf-d6b1-88c1-4593-5f30abbce350"/>
    <x v="34"/>
    <x v="19"/>
    <x v="0"/>
    <x v="0"/>
    <x v="4"/>
    <n v="1.70325203252032"/>
    <n v="1743.96259694368"/>
  </r>
  <r>
    <s v="2e7ef6ad-50df-5aa4-32c9-df9b16b60f25"/>
    <x v="31"/>
    <x v="21"/>
    <x v="1"/>
    <x v="0"/>
    <x v="5"/>
    <n v="0.53252032520325199"/>
    <n v="1536.3963496781"/>
  </r>
  <r>
    <s v="2e976dc6-21bc-155b-f08a-7fbe209631cd"/>
    <x v="17"/>
    <x v="13"/>
    <x v="0"/>
    <x v="0"/>
    <x v="7"/>
    <n v="0.46341463414634099"/>
    <n v="397.06024170226499"/>
  </r>
  <r>
    <s v="2ea25720-8d13-aed5-d348-373357143115"/>
    <x v="27"/>
    <x v="15"/>
    <x v="1"/>
    <x v="0"/>
    <x v="9"/>
    <n v="1.61788617886178"/>
    <n v="4701.2127655656896"/>
  </r>
  <r>
    <s v="2eb133ef-e5de-60e4-fd92-a23e71b551d5"/>
    <x v="39"/>
    <x v="3"/>
    <x v="0"/>
    <x v="0"/>
    <x v="2"/>
    <n v="1.2073170731707299"/>
    <n v="1262.8861014850099"/>
  </r>
  <r>
    <s v="2ebd462c-e711-5a45-32c3-6a7782dbb514"/>
    <x v="1"/>
    <x v="37"/>
    <x v="1"/>
    <x v="0"/>
    <x v="4"/>
    <n v="1.70325203252032"/>
    <n v="4054.0086829412098"/>
  </r>
  <r>
    <s v="2eee0d44-bdfd-623b-492f-bded0a017e93"/>
    <x v="2"/>
    <x v="20"/>
    <x v="0"/>
    <x v="0"/>
    <x v="0"/>
    <n v="1.1544715447154399"/>
    <n v="968.24508317090499"/>
  </r>
  <r>
    <s v="2ef540f4-8080-04d9-71e1-83cf92d40c4c"/>
    <x v="15"/>
    <x v="6"/>
    <x v="1"/>
    <x v="0"/>
    <x v="9"/>
    <n v="1.61788617886178"/>
    <n v="4472.4537787177196"/>
  </r>
  <r>
    <s v="2f4eb08f-ca2c-c504-fbc0-469936dc5666"/>
    <x v="9"/>
    <x v="1"/>
    <x v="0"/>
    <x v="0"/>
    <x v="1"/>
    <n v="0.66666666666666596"/>
    <n v="587.72593297019898"/>
  </r>
  <r>
    <s v="2f590d6d-a91c-dbdc-2978-45a4f229e7b6"/>
    <x v="45"/>
    <x v="5"/>
    <x v="1"/>
    <x v="0"/>
    <x v="1"/>
    <n v="0.66666666666666596"/>
    <n v="1979.04319712849"/>
  </r>
  <r>
    <s v="2f67fa07-da61-73d2-bb09-940e3203fc6f"/>
    <x v="8"/>
    <x v="33"/>
    <x v="1"/>
    <x v="1"/>
    <x v="8"/>
    <n v="0.19512195121951201"/>
    <n v="667.98838649128595"/>
  </r>
  <r>
    <s v="2f743706-107b-57bf-7c72-cdc7b2722b56"/>
    <x v="1"/>
    <x v="33"/>
    <x v="1"/>
    <x v="0"/>
    <x v="2"/>
    <n v="1.2073170731707299"/>
    <n v="3848.7217297352099"/>
  </r>
  <r>
    <s v="2f766590-6d36-fc31-019c-f2e00222102c"/>
    <x v="2"/>
    <x v="11"/>
    <x v="0"/>
    <x v="0"/>
    <x v="5"/>
    <n v="0.53252032520325199"/>
    <n v="424.88775004700699"/>
  </r>
  <r>
    <s v="2f83e2de-c942-a1e7-91ea-2e53a3da828e"/>
    <x v="28"/>
    <x v="11"/>
    <x v="1"/>
    <x v="0"/>
    <x v="0"/>
    <n v="1.1544715447154399"/>
    <n v="2651.6406806315399"/>
  </r>
  <r>
    <s v="2f873847-da45-a2ae-c821-6d7c3b21a8cf"/>
    <x v="17"/>
    <x v="19"/>
    <x v="0"/>
    <x v="0"/>
    <x v="7"/>
    <n v="0.46341463414634099"/>
    <n v="474.49101682954603"/>
  </r>
  <r>
    <s v="2f8a99d6-782a-6259-f41f-707bc9dc0cac"/>
    <x v="1"/>
    <x v="22"/>
    <x v="1"/>
    <x v="0"/>
    <x v="7"/>
    <n v="0.46341463414634099"/>
    <n v="1245.05399317052"/>
  </r>
  <r>
    <s v="2f8b215f-cc87-1c8c-d612-8f8de6a0e59c"/>
    <x v="28"/>
    <x v="40"/>
    <x v="0"/>
    <x v="0"/>
    <x v="0"/>
    <n v="1.1544715447154399"/>
    <n v="1148.8465612980101"/>
  </r>
  <r>
    <s v="2fa10083-3b75-5c69-6258-05bc21eff452"/>
    <x v="15"/>
    <x v="41"/>
    <x v="0"/>
    <x v="0"/>
    <x v="6"/>
    <n v="1.1341463414634101"/>
    <n v="1104.7481954575301"/>
  </r>
  <r>
    <s v="2fe2febb-f2ea-d242-b3f2-ea257b64b3c0"/>
    <x v="14"/>
    <x v="2"/>
    <x v="1"/>
    <x v="0"/>
    <x v="5"/>
    <n v="0.53252032520325199"/>
    <n v="1304.1315509522301"/>
  </r>
  <r>
    <s v="2ffe677e-d755-18ab-df0d-7311025690cd"/>
    <x v="15"/>
    <x v="45"/>
    <x v="1"/>
    <x v="0"/>
    <x v="9"/>
    <n v="1.61788617886178"/>
    <n v="4734.8341405880501"/>
  </r>
  <r>
    <s v="3020d3c9-8467-0ea4-0ecc-8aea4d816fc5"/>
    <x v="14"/>
    <x v="1"/>
    <x v="0"/>
    <x v="0"/>
    <x v="4"/>
    <n v="1.70325203252032"/>
    <n v="1501.56808484459"/>
  </r>
  <r>
    <s v="302f3bb9-5ea1-50da-b7a2-be98b39f3d3f"/>
    <x v="14"/>
    <x v="9"/>
    <x v="1"/>
    <x v="0"/>
    <x v="6"/>
    <n v="1.1341463414634101"/>
    <n v="3589.7929651309501"/>
  </r>
  <r>
    <s v="3051d74b-4302-a576-1193-e55d1d6df0eb"/>
    <x v="1"/>
    <x v="41"/>
    <x v="0"/>
    <x v="0"/>
    <x v="4"/>
    <n v="1.70325203252032"/>
    <n v="1659.10212866202"/>
  </r>
  <r>
    <s v="307d27ae-cdfd-2683-4ae0-121f492ae11a"/>
    <x v="14"/>
    <x v="18"/>
    <x v="1"/>
    <x v="0"/>
    <x v="4"/>
    <n v="1.70325203252032"/>
    <n v="5202.4139246792402"/>
  </r>
  <r>
    <s v="30d8363f-fd46-a3c4-6eee-aed47362eb0b"/>
    <x v="9"/>
    <x v="5"/>
    <x v="0"/>
    <x v="0"/>
    <x v="6"/>
    <n v="1.1341463414634101"/>
    <n v="1169.55920204167"/>
  </r>
  <r>
    <s v="3110ec8f-85ae-8191-5cd6-5f8afc46d535"/>
    <x v="22"/>
    <x v="29"/>
    <x v="1"/>
    <x v="0"/>
    <x v="8"/>
    <n v="0.19512195121951201"/>
    <n v="520.510755434256"/>
  </r>
  <r>
    <s v="3119886e-17ae-383a-60b9-6fa5283f0f5e"/>
    <x v="1"/>
    <x v="47"/>
    <x v="1"/>
    <x v="0"/>
    <x v="1"/>
    <n v="0.66666666666666596"/>
    <n v="1575.50445639448"/>
  </r>
  <r>
    <s v="31444bab-fc42-f434-5f5d-39e756a51794"/>
    <x v="2"/>
    <x v="43"/>
    <x v="0"/>
    <x v="0"/>
    <x v="4"/>
    <n v="1.70325203252032"/>
    <n v="1368.71113713913"/>
  </r>
  <r>
    <s v="315b6b16-ff68-c476-b38a-c8998685adcb"/>
    <x v="20"/>
    <x v="43"/>
    <x v="1"/>
    <x v="0"/>
    <x v="6"/>
    <n v="1.1341463414634101"/>
    <n v="2623.58657609383"/>
  </r>
  <r>
    <s v="315f5337-52b6-0600-fce8-220acfeb2d78"/>
    <x v="29"/>
    <x v="12"/>
    <x v="1"/>
    <x v="0"/>
    <x v="6"/>
    <n v="1.1341463414634101"/>
    <n v="3390.8649458458499"/>
  </r>
  <r>
    <s v="316d6ee9-b0cb-1b98-1f37-b1bcb02a4379"/>
    <x v="34"/>
    <x v="36"/>
    <x v="0"/>
    <x v="0"/>
    <x v="3"/>
    <n v="1.11788617886178"/>
    <n v="1096.69699902618"/>
  </r>
  <r>
    <s v="3182f6c6-21ea-ea71-7bd9-e77088910a01"/>
    <x v="9"/>
    <x v="25"/>
    <x v="1"/>
    <x v="0"/>
    <x v="8"/>
    <n v="0.19512195121951201"/>
    <n v="498.72429579286802"/>
  </r>
  <r>
    <s v="318869d5-b613-0a12-cfb6-f71de31f16ce"/>
    <x v="38"/>
    <x v="45"/>
    <x v="0"/>
    <x v="0"/>
    <x v="2"/>
    <n v="1.2073170731707299"/>
    <n v="1227.39607168516"/>
  </r>
  <r>
    <s v="31a55e19-9a37-f4df-f461-f01492a5bdf2"/>
    <x v="15"/>
    <x v="10"/>
    <x v="1"/>
    <x v="0"/>
    <x v="3"/>
    <n v="1.11788617886178"/>
    <n v="2718.2408602740002"/>
  </r>
  <r>
    <s v="31a7d0c4-b3f6-326a-c10c-44df91ff21d3"/>
    <x v="17"/>
    <x v="5"/>
    <x v="1"/>
    <x v="0"/>
    <x v="3"/>
    <n v="1.11788617886178"/>
    <n v="3318.5175561605802"/>
  </r>
  <r>
    <s v="31b40fd0-96a0-fc6c-8153-0a0a8f521dcc"/>
    <x v="32"/>
    <x v="42"/>
    <x v="0"/>
    <x v="0"/>
    <x v="0"/>
    <n v="1.1544715447154399"/>
    <n v="1116.56130719"/>
  </r>
  <r>
    <s v="31e0752e-fb32-e53e-68d5-26e34bb50e3c"/>
    <x v="42"/>
    <x v="47"/>
    <x v="0"/>
    <x v="0"/>
    <x v="1"/>
    <n v="0.66666666666666596"/>
    <n v="547.30096921275106"/>
  </r>
  <r>
    <s v="32212a76-6d81-84bf-23e5-47a1de41500d"/>
    <x v="39"/>
    <x v="19"/>
    <x v="0"/>
    <x v="0"/>
    <x v="6"/>
    <n v="1.1341463414634101"/>
    <n v="1161.2543306617799"/>
  </r>
  <r>
    <s v="328128c9-7b0c-0bde-d88b-fe20bc093239"/>
    <x v="17"/>
    <x v="34"/>
    <x v="0"/>
    <x v="0"/>
    <x v="1"/>
    <n v="0.66666666666666596"/>
    <n v="631.13678161862697"/>
  </r>
  <r>
    <s v="32d6b29b-1933-09ad-644b-b7ba9608308b"/>
    <x v="3"/>
    <x v="17"/>
    <x v="0"/>
    <x v="0"/>
    <x v="5"/>
    <n v="0.53252032520325199"/>
    <n v="507.74517159891201"/>
  </r>
  <r>
    <s v="32df7d06-0f7e-20c7-c7a7-e08579fa8d94"/>
    <x v="14"/>
    <x v="1"/>
    <x v="1"/>
    <x v="0"/>
    <x v="0"/>
    <n v="1.1544715447154399"/>
    <n v="2929.8323146885"/>
  </r>
  <r>
    <s v="33321a0a-1861-aafa-800f-18a165d52231"/>
    <x v="32"/>
    <x v="26"/>
    <x v="0"/>
    <x v="0"/>
    <x v="2"/>
    <n v="1.2073170731707299"/>
    <n v="1271.9178065674901"/>
  </r>
  <r>
    <s v="333a5c92-26bc-a83a-3181-f3bb265f7bf0"/>
    <x v="17"/>
    <x v="22"/>
    <x v="0"/>
    <x v="0"/>
    <x v="1"/>
    <n v="0.66666666666666596"/>
    <n v="622.20538219493994"/>
  </r>
  <r>
    <s v="3346a9a5-6bd7-4d3d-b372-39c1c719aeff"/>
    <x v="10"/>
    <x v="6"/>
    <x v="1"/>
    <x v="0"/>
    <x v="7"/>
    <n v="0.46341463414634099"/>
    <n v="1281.0545999342201"/>
  </r>
  <r>
    <s v="33aa0dfd-b182-0189-67c3-c3fe91d39466"/>
    <x v="19"/>
    <x v="43"/>
    <x v="0"/>
    <x v="0"/>
    <x v="4"/>
    <n v="1.70325203252032"/>
    <n v="1368.71113713913"/>
  </r>
  <r>
    <s v="33c255f1-8501-7273-b85f-62f317ed2144"/>
    <x v="17"/>
    <x v="40"/>
    <x v="1"/>
    <x v="0"/>
    <x v="5"/>
    <n v="0.53252032520325199"/>
    <n v="1525.48662056791"/>
  </r>
  <r>
    <s v="33dac8c3-e5d2-f670-08c7-00db82a92c33"/>
    <x v="21"/>
    <x v="33"/>
    <x v="0"/>
    <x v="0"/>
    <x v="8"/>
    <n v="0.19512195121951201"/>
    <n v="216.07667148964899"/>
  </r>
  <r>
    <s v="34607c5e-c76c-d977-cde0-0e0546ab1c64"/>
    <x v="6"/>
    <x v="13"/>
    <x v="1"/>
    <x v="0"/>
    <x v="2"/>
    <n v="1.2073170731707299"/>
    <n v="2977.8404113747802"/>
  </r>
  <r>
    <s v="34725eaa-e6a8-029c-117a-911bbf1415ce"/>
    <x v="6"/>
    <x v="41"/>
    <x v="0"/>
    <x v="0"/>
    <x v="5"/>
    <n v="0.53252032520325199"/>
    <n v="518.71689464135"/>
  </r>
  <r>
    <s v="3493086e-8f4e-ff66-eea5-fc0b4a51c0aa"/>
    <x v="27"/>
    <x v="27"/>
    <x v="0"/>
    <x v="1"/>
    <x v="4"/>
    <n v="1.70325203252032"/>
    <n v="1968.6514187046"/>
  </r>
  <r>
    <s v="349dd30e-0ec6-7b76-a4d6-f1030e594798"/>
    <x v="42"/>
    <x v="40"/>
    <x v="0"/>
    <x v="0"/>
    <x v="0"/>
    <n v="1.1544715447154399"/>
    <n v="1148.8465612980101"/>
  </r>
  <r>
    <s v="34a6d423-ae37-012d-8678-18d0a18e65de"/>
    <x v="1"/>
    <x v="27"/>
    <x v="0"/>
    <x v="0"/>
    <x v="4"/>
    <n v="1.70325203252032"/>
    <n v="1833.16354490563"/>
  </r>
  <r>
    <s v="34ae4133-c36e-b47d-fef3-982ed05a8601"/>
    <x v="15"/>
    <x v="28"/>
    <x v="0"/>
    <x v="0"/>
    <x v="3"/>
    <n v="1.11788617886178"/>
    <n v="1014.01214014861"/>
  </r>
  <r>
    <s v="35440ebb-c87e-e044-f3e3-70a9bcced1cf"/>
    <x v="6"/>
    <x v="10"/>
    <x v="0"/>
    <x v="0"/>
    <x v="4"/>
    <n v="1.70325203252032"/>
    <n v="1438.7185622598599"/>
  </r>
  <r>
    <s v="3549716c-7288-dff4-de7b-cbbd12dd0956"/>
    <x v="1"/>
    <x v="32"/>
    <x v="0"/>
    <x v="0"/>
    <x v="3"/>
    <n v="1.11788617886178"/>
    <n v="971.56972308694696"/>
  </r>
  <r>
    <s v="35b56e20-8cdd-d2cb-a16f-8f51462c1464"/>
    <x v="39"/>
    <x v="23"/>
    <x v="0"/>
    <x v="0"/>
    <x v="0"/>
    <n v="1.1544715447154399"/>
    <n v="1062.2299152442199"/>
  </r>
  <r>
    <s v="35b7bb5b-8e1e-6650-586d-3b7e2ee775d6"/>
    <x v="21"/>
    <x v="6"/>
    <x v="0"/>
    <x v="0"/>
    <x v="9"/>
    <n v="1.61788617886178"/>
    <n v="1553.6473273158099"/>
  </r>
  <r>
    <s v="35ba6c5e-249f-caa5-0501-79921ac59a10"/>
    <x v="28"/>
    <x v="44"/>
    <x v="1"/>
    <x v="0"/>
    <x v="3"/>
    <n v="1.11788617886178"/>
    <n v="2623.0925745101399"/>
  </r>
  <r>
    <s v="35c956b2-f0f1-7127-a54f-4af83e00b0a8"/>
    <x v="18"/>
    <x v="22"/>
    <x v="1"/>
    <x v="0"/>
    <x v="8"/>
    <n v="0.19512195121951201"/>
    <n v="524.23326028232498"/>
  </r>
  <r>
    <s v="35cee495-19fe-a2f3-48cf-b2a4ff8e0eb2"/>
    <x v="17"/>
    <x v="34"/>
    <x v="0"/>
    <x v="0"/>
    <x v="4"/>
    <n v="1.70325203252032"/>
    <n v="1612.4775091353899"/>
  </r>
  <r>
    <s v="36190402-b027-11d7-3b96-03f49e6858e4"/>
    <x v="26"/>
    <x v="33"/>
    <x v="1"/>
    <x v="0"/>
    <x v="4"/>
    <n v="1.70325203252032"/>
    <n v="5429.6781305018703"/>
  </r>
  <r>
    <s v="361f7c4c-43c8-e24c-9c85-5bd16c78005a"/>
    <x v="13"/>
    <x v="42"/>
    <x v="1"/>
    <x v="0"/>
    <x v="8"/>
    <n v="0.19512195121951201"/>
    <n v="543.24894296961099"/>
  </r>
  <r>
    <s v="3621368d-7266-ce90-db9b-7b5cf78520fa"/>
    <x v="34"/>
    <x v="47"/>
    <x v="1"/>
    <x v="0"/>
    <x v="7"/>
    <n v="0.46341463414634099"/>
    <n v="1095.16773188397"/>
  </r>
  <r>
    <s v="362fa08c-e962-e084-5ea6-16ea3bc70ca7"/>
    <x v="22"/>
    <x v="21"/>
    <x v="0"/>
    <x v="0"/>
    <x v="6"/>
    <n v="1.1341463414634101"/>
    <n v="1136.6918746680101"/>
  </r>
  <r>
    <s v="36870c43-5fca-80e6-b033-4ae92dc64bf5"/>
    <x v="6"/>
    <x v="29"/>
    <x v="0"/>
    <x v="0"/>
    <x v="9"/>
    <n v="1.61788617886178"/>
    <n v="1499.2640377272601"/>
  </r>
  <r>
    <s v="368ff475-36e8-e3d2-41f9-35012476411b"/>
    <x v="4"/>
    <x v="46"/>
    <x v="0"/>
    <x v="0"/>
    <x v="2"/>
    <n v="1.2073170731707299"/>
    <n v="1005.37607450673"/>
  </r>
  <r>
    <s v="369b196b-b61a-3df9-80c9-bb1ca0729beb"/>
    <x v="46"/>
    <x v="47"/>
    <x v="0"/>
    <x v="0"/>
    <x v="3"/>
    <n v="1.11788617886178"/>
    <n v="917.73028374089404"/>
  </r>
  <r>
    <s v="3701be25-96e7-4c70-f750-f63c41f65cad"/>
    <x v="36"/>
    <x v="0"/>
    <x v="0"/>
    <x v="0"/>
    <x v="8"/>
    <n v="0.19512195121951201"/>
    <n v="170.79587584436999"/>
  </r>
  <r>
    <s v="371ceb39-35e5-9e3e-350a-52cf4468b29e"/>
    <x v="12"/>
    <x v="13"/>
    <x v="0"/>
    <x v="0"/>
    <x v="0"/>
    <n v="1.1544715447154399"/>
    <n v="989.167619679327"/>
  </r>
  <r>
    <s v="37435539-843c-4fda-bd7b-3c05fc6f9dbf"/>
    <x v="6"/>
    <x v="46"/>
    <x v="1"/>
    <x v="0"/>
    <x v="3"/>
    <n v="1.11788617886178"/>
    <n v="2679.7742464432699"/>
  </r>
  <r>
    <s v="379aab67-4954-389e-c648-756bf63eb692"/>
    <x v="2"/>
    <x v="1"/>
    <x v="0"/>
    <x v="0"/>
    <x v="6"/>
    <n v="1.1341463414634101"/>
    <n v="999.85082499198597"/>
  </r>
  <r>
    <s v="37f809b5-c320-f35f-02be-ac08bd7aa21b"/>
    <x v="47"/>
    <x v="43"/>
    <x v="0"/>
    <x v="0"/>
    <x v="0"/>
    <n v="1.1544715447154399"/>
    <n v="927.71828865755197"/>
  </r>
  <r>
    <s v="37fadcef-9486-0b37-4029-ccb5924644e3"/>
    <x v="33"/>
    <x v="0"/>
    <x v="1"/>
    <x v="0"/>
    <x v="5"/>
    <n v="0.53252032520325199"/>
    <n v="1341.8403791568701"/>
  </r>
  <r>
    <s v="3809a18b-b6e2-dedf-fc8e-7f744398599c"/>
    <x v="3"/>
    <x v="40"/>
    <x v="0"/>
    <x v="0"/>
    <x v="4"/>
    <n v="1.70325203252032"/>
    <n v="1694.95320135165"/>
  </r>
  <r>
    <s v="38148d12-53b9-0d90-be52-dfd732be5e6a"/>
    <x v="15"/>
    <x v="36"/>
    <x v="1"/>
    <x v="0"/>
    <x v="5"/>
    <n v="0.53252032520325199"/>
    <n v="1503.8990174989799"/>
  </r>
  <r>
    <s v="3856e6b1-2ce8-9ecc-8e41-6072288f19f8"/>
    <x v="19"/>
    <x v="15"/>
    <x v="1"/>
    <x v="0"/>
    <x v="3"/>
    <n v="1.11788617886178"/>
    <n v="3248.3254033431199"/>
  </r>
  <r>
    <s v="386abea5-426a-387b-2d93-574f0a3878f5"/>
    <x v="7"/>
    <x v="46"/>
    <x v="0"/>
    <x v="0"/>
    <x v="6"/>
    <n v="1.1341463414634101"/>
    <n v="944.44419120329599"/>
  </r>
  <r>
    <s v="38a58653-4d7d-1e6b-aab3-288dd31ff3a8"/>
    <x v="1"/>
    <x v="41"/>
    <x v="0"/>
    <x v="0"/>
    <x v="9"/>
    <n v="1.61788617886178"/>
    <n v="1575.94903868135"/>
  </r>
  <r>
    <s v="38a89395-9d56-0160-0859-6d0d0ecdbf3b"/>
    <x v="32"/>
    <x v="36"/>
    <x v="0"/>
    <x v="0"/>
    <x v="3"/>
    <n v="1.11788617886178"/>
    <n v="1096.69699902618"/>
  </r>
  <r>
    <s v="38b12afc-32ce-296c-46da-9852a10384f5"/>
    <x v="46"/>
    <x v="6"/>
    <x v="1"/>
    <x v="0"/>
    <x v="8"/>
    <n v="0.19512195121951201"/>
    <n v="539.39141049861905"/>
  </r>
  <r>
    <s v="38c6afc3-fc0b-85b7-bafb-9db0d965c0fe"/>
    <x v="15"/>
    <x v="29"/>
    <x v="1"/>
    <x v="0"/>
    <x v="1"/>
    <n v="0.66666666666666596"/>
    <n v="1778.4117477336999"/>
  </r>
  <r>
    <s v="38e1256f-e2eb-b829-e3b0-532d229682c3"/>
    <x v="2"/>
    <x v="43"/>
    <x v="0"/>
    <x v="0"/>
    <x v="3"/>
    <n v="1.11788617886178"/>
    <n v="898.31876542544705"/>
  </r>
  <r>
    <s v="38e466f0-da4f-2f42-0868-cfb5a4f4cafa"/>
    <x v="22"/>
    <x v="19"/>
    <x v="0"/>
    <x v="0"/>
    <x v="4"/>
    <n v="1.70325203252032"/>
    <n v="1743.96259694368"/>
  </r>
  <r>
    <s v="390196a3-c306-7475-f809-9a12dccf0fbc"/>
    <x v="25"/>
    <x v="31"/>
    <x v="1"/>
    <x v="0"/>
    <x v="4"/>
    <n v="1.70325203252032"/>
    <n v="5314.8314284320704"/>
  </r>
  <r>
    <s v="390a8ccd-f3bc-5ccc-78de-7bd07189d931"/>
    <x v="17"/>
    <x v="9"/>
    <x v="1"/>
    <x v="0"/>
    <x v="3"/>
    <n v="1.11788617886178"/>
    <n v="3538.3263993226201"/>
  </r>
  <r>
    <s v="391b7dbe-260a-fbc3-1d92-8b5e7ce1b41b"/>
    <x v="17"/>
    <x v="46"/>
    <x v="1"/>
    <x v="0"/>
    <x v="0"/>
    <n v="1.1544715447154399"/>
    <n v="2767.4759490541401"/>
  </r>
  <r>
    <s v="39752abc-dccb-3abf-47ea-55e896f794de"/>
    <x v="25"/>
    <x v="31"/>
    <x v="1"/>
    <x v="0"/>
    <x v="1"/>
    <n v="0.66666666666666596"/>
    <n v="2080.26814859871"/>
  </r>
  <r>
    <s v="39843e63-b678-9bd6-4717-42e638529d5e"/>
    <x v="34"/>
    <x v="3"/>
    <x v="1"/>
    <x v="0"/>
    <x v="8"/>
    <n v="0.19512195121951201"/>
    <n v="587.54669879159405"/>
  </r>
  <r>
    <s v="3998dc32-c117-38e7-6aea-7ae0f3382c18"/>
    <x v="10"/>
    <x v="39"/>
    <x v="0"/>
    <x v="0"/>
    <x v="3"/>
    <n v="1.11788617886178"/>
    <n v="1104.54017969654"/>
  </r>
  <r>
    <s v="39c4afad-877c-c38d-a625-281a511f1640"/>
    <x v="15"/>
    <x v="17"/>
    <x v="1"/>
    <x v="0"/>
    <x v="0"/>
    <n v="1.1544715447154399"/>
    <n v="3168.73751304189"/>
  </r>
  <r>
    <s v="39cf97c1-b8a8-ac70-7b41-cac8c2512784"/>
    <x v="1"/>
    <x v="19"/>
    <x v="1"/>
    <x v="0"/>
    <x v="4"/>
    <n v="1.70325203252032"/>
    <n v="5020.3105746776"/>
  </r>
  <r>
    <s v="39d49a31-b430-263a-6edc-8c894e0c7572"/>
    <x v="15"/>
    <x v="33"/>
    <x v="0"/>
    <x v="0"/>
    <x v="4"/>
    <n v="1.70325203252032"/>
    <n v="1886.16927821173"/>
  </r>
  <r>
    <s v="39dce1fa-6eac-d797-64bd-429a4d460d77"/>
    <x v="17"/>
    <x v="29"/>
    <x v="1"/>
    <x v="0"/>
    <x v="6"/>
    <n v="1.1341463414634101"/>
    <n v="3025.4687659616102"/>
  </r>
  <r>
    <s v="3a10b0e6-c1b4-3401-da60-61cf49065c7a"/>
    <x v="33"/>
    <x v="46"/>
    <x v="1"/>
    <x v="0"/>
    <x v="3"/>
    <n v="1.11788617886178"/>
    <n v="2679.7742464432699"/>
  </r>
  <r>
    <s v="3aa1ec5c-6e4e-058b-f3b7-8e9a8d22dc8b"/>
    <x v="17"/>
    <x v="3"/>
    <x v="0"/>
    <x v="0"/>
    <x v="1"/>
    <n v="0.66666666666666596"/>
    <n v="697.35124795805496"/>
  </r>
  <r>
    <s v="3aaf34c5-58bb-2c7f-a92d-9151d730b8cf"/>
    <x v="15"/>
    <x v="0"/>
    <x v="1"/>
    <x v="0"/>
    <x v="7"/>
    <n v="0.46341463414634099"/>
    <n v="1167.70842155636"/>
  </r>
  <r>
    <s v="3ac4a5db-34ee-dd29-7eb7-f666217ffb57"/>
    <x v="8"/>
    <x v="34"/>
    <x v="0"/>
    <x v="0"/>
    <x v="1"/>
    <n v="0.66666666666666596"/>
    <n v="631.13678161862697"/>
  </r>
  <r>
    <s v="3ac7c6b3-9e50-079f-87a2-ee59be81c28e"/>
    <x v="17"/>
    <x v="39"/>
    <x v="1"/>
    <x v="0"/>
    <x v="4"/>
    <n v="1.70325203252032"/>
    <n v="4844.5815021867302"/>
  </r>
  <r>
    <s v="3b110e3e-21f7-3bf4-3545-2b8f2e5ff3bc"/>
    <x v="40"/>
    <x v="8"/>
    <x v="0"/>
    <x v="0"/>
    <x v="4"/>
    <n v="1.70325203252032"/>
    <n v="1534.0150485535701"/>
  </r>
  <r>
    <s v="3b4195ef-a56a-a755-588e-d736a4d0c7d2"/>
    <x v="6"/>
    <x v="3"/>
    <x v="0"/>
    <x v="0"/>
    <x v="5"/>
    <n v="0.53252032520325199"/>
    <n v="557.030570015276"/>
  </r>
  <r>
    <s v="3b49feda-99d0-f8e9-349b-c6623fb0920f"/>
    <x v="48"/>
    <x v="2"/>
    <x v="0"/>
    <x v="0"/>
    <x v="4"/>
    <n v="1.70325203252032"/>
    <n v="1449.0077575687101"/>
  </r>
  <r>
    <s v="3b4d1edc-f349-d200-2b33-8cb0e87ed0f2"/>
    <x v="1"/>
    <x v="37"/>
    <x v="0"/>
    <x v="0"/>
    <x v="8"/>
    <n v="0.19512195121951201"/>
    <n v="161.331239411627"/>
  </r>
  <r>
    <s v="3b83a9d0-0a08-b0b0-8225-b9ca1c562883"/>
    <x v="6"/>
    <x v="36"/>
    <x v="0"/>
    <x v="0"/>
    <x v="2"/>
    <n v="1.2073170731707299"/>
    <n v="1184.43275894827"/>
  </r>
  <r>
    <s v="3b842957-cc2f-a8e5-ea92-0848638abed3"/>
    <x v="28"/>
    <x v="15"/>
    <x v="1"/>
    <x v="0"/>
    <x v="3"/>
    <n v="1.11788617886178"/>
    <n v="3248.3254033431199"/>
  </r>
  <r>
    <s v="3b90e293-57e4-1bd6-7768-249555637bab"/>
    <x v="1"/>
    <x v="27"/>
    <x v="1"/>
    <x v="0"/>
    <x v="1"/>
    <n v="0.66666666666666596"/>
    <n v="2065.49646420716"/>
  </r>
  <r>
    <s v="3b929019-2c62-4c96-7d0f-d7f6e7fe3105"/>
    <x v="29"/>
    <x v="18"/>
    <x v="0"/>
    <x v="0"/>
    <x v="2"/>
    <n v="1.2073170731707299"/>
    <n v="1281.01410314131"/>
  </r>
  <r>
    <s v="3bcd4983-3c4b-c914-d4a4-732465799ced"/>
    <x v="2"/>
    <x v="34"/>
    <x v="0"/>
    <x v="0"/>
    <x v="0"/>
    <n v="1.1544715447154399"/>
    <n v="1092.9441828029801"/>
  </r>
  <r>
    <s v="3c19d392-c099-eb56-b9d2-f97334ef45f2"/>
    <x v="6"/>
    <x v="36"/>
    <x v="0"/>
    <x v="0"/>
    <x v="7"/>
    <n v="0.46341463414634099"/>
    <n v="454.63075595994502"/>
  </r>
  <r>
    <s v="3c497662-1a3e-174b-077f-b2ceaaa4aa81"/>
    <x v="35"/>
    <x v="24"/>
    <x v="1"/>
    <x v="0"/>
    <x v="8"/>
    <n v="0.19512195121951201"/>
    <n v="444.98226967017399"/>
  </r>
  <r>
    <s v="3c59c5db-74df-a43a-a8db-eccdfc754ea1"/>
    <x v="6"/>
    <x v="23"/>
    <x v="0"/>
    <x v="0"/>
    <x v="1"/>
    <n v="0.66666666666666596"/>
    <n v="613.40037359173596"/>
  </r>
  <r>
    <s v="3c7371d9-7e3b-bf19-e809-830204163d29"/>
    <x v="6"/>
    <x v="1"/>
    <x v="0"/>
    <x v="0"/>
    <x v="2"/>
    <n v="1.2073170731707299"/>
    <n v="1064.3573298301701"/>
  </r>
  <r>
    <s v="3caf46a5-e854-2566-7315-c40cd6b93421"/>
    <x v="22"/>
    <x v="3"/>
    <x v="0"/>
    <x v="0"/>
    <x v="7"/>
    <n v="0.46341463414634099"/>
    <n v="484.74416016596501"/>
  </r>
  <r>
    <s v="3cdb4360-06e1-be65-f383-213615e5bdb7"/>
    <x v="38"/>
    <x v="22"/>
    <x v="1"/>
    <x v="0"/>
    <x v="5"/>
    <n v="0.53252032520325199"/>
    <n v="1430.71993952051"/>
  </r>
  <r>
    <s v="3cdfb9b9-95a7-8d0b-a679-255cbf2d08e5"/>
    <x v="40"/>
    <x v="8"/>
    <x v="1"/>
    <x v="0"/>
    <x v="8"/>
    <n v="0.19512195121951201"/>
    <n v="505.883195435152"/>
  </r>
  <r>
    <s v="3d0f82db-b461-e843-e6e9-c1cee3f1b477"/>
    <x v="1"/>
    <x v="35"/>
    <x v="1"/>
    <x v="0"/>
    <x v="8"/>
    <n v="0.19512195121951201"/>
    <n v="513.14485695312806"/>
  </r>
  <r>
    <s v="3d948d18-1593-855a-0974-9d8242f0b9e9"/>
    <x v="13"/>
    <x v="26"/>
    <x v="1"/>
    <x v="0"/>
    <x v="5"/>
    <n v="0.53252032520325199"/>
    <n v="1614.98061007264"/>
  </r>
  <r>
    <s v="3da03aeb-927b-b770-ab4d-83c3d82b3b18"/>
    <x v="13"/>
    <x v="10"/>
    <x v="1"/>
    <x v="0"/>
    <x v="3"/>
    <n v="1.11788617886178"/>
    <n v="2718.2408602740002"/>
  </r>
  <r>
    <s v="3db27741-9ede-1cc8-53fd-5d5328902b62"/>
    <x v="15"/>
    <x v="16"/>
    <x v="1"/>
    <x v="0"/>
    <x v="5"/>
    <n v="0.53252032520325199"/>
    <n v="1322.85160724859"/>
  </r>
  <r>
    <s v="3dc959dd-1b10-ae31-a3fb-77ccbb3e5e17"/>
    <x v="2"/>
    <x v="18"/>
    <x v="1"/>
    <x v="0"/>
    <x v="8"/>
    <n v="0.19512195121951201"/>
    <n v="595.98059280334996"/>
  </r>
  <r>
    <s v="3dccd3e8-b337-3b62-cb02-87b39b1bd7dc"/>
    <x v="9"/>
    <x v="0"/>
    <x v="1"/>
    <x v="0"/>
    <x v="8"/>
    <n v="0.19512195121951201"/>
    <n v="491.66670381320398"/>
  </r>
  <r>
    <s v="3dd27fab-0fe1-7834-8675-a5e833fab99e"/>
    <x v="10"/>
    <x v="10"/>
    <x v="1"/>
    <x v="0"/>
    <x v="2"/>
    <n v="1.2073170731707299"/>
    <n v="2935.7001290959201"/>
  </r>
  <r>
    <s v="3ddf78d1-cd5e-65e4-a1f3-5a6b29b717e5"/>
    <x v="28"/>
    <x v="1"/>
    <x v="0"/>
    <x v="0"/>
    <x v="4"/>
    <n v="1.70325203252032"/>
    <n v="1501.56808484459"/>
  </r>
  <r>
    <s v="3de65e52-0c92-66e0-0b1f-f0b8115c9363"/>
    <x v="15"/>
    <x v="46"/>
    <x v="0"/>
    <x v="0"/>
    <x v="7"/>
    <n v="0.46341463414634099"/>
    <n v="385.90192758844302"/>
  </r>
  <r>
    <s v="3deed6ed-436d-c8a5-79af-e2c4b7aca15f"/>
    <x v="15"/>
    <x v="2"/>
    <x v="0"/>
    <x v="0"/>
    <x v="5"/>
    <n v="0.53252032520325199"/>
    <n v="453.03106501551599"/>
  </r>
  <r>
    <s v="3e654651-9458-20df-3967-a295211f1edd"/>
    <x v="8"/>
    <x v="18"/>
    <x v="0"/>
    <x v="0"/>
    <x v="7"/>
    <n v="0.46341463414634099"/>
    <n v="491.70238302393699"/>
  </r>
  <r>
    <s v="3e65566b-d43c-85df-c70d-9f2ede85abb6"/>
    <x v="16"/>
    <x v="34"/>
    <x v="1"/>
    <x v="0"/>
    <x v="5"/>
    <n v="0.53252032520325199"/>
    <n v="1451.2570991288201"/>
  </r>
  <r>
    <s v="3e6f0748-a365-499d-147c-c63d6b7f6cb0"/>
    <x v="6"/>
    <x v="23"/>
    <x v="0"/>
    <x v="0"/>
    <x v="0"/>
    <n v="1.1544715447154399"/>
    <n v="1062.2299152442199"/>
  </r>
  <r>
    <s v="3e81a5ee-44eb-824d-d436-47d77712eda6"/>
    <x v="1"/>
    <x v="28"/>
    <x v="1"/>
    <x v="0"/>
    <x v="8"/>
    <n v="0.19512195121951201"/>
    <n v="509.50108925944699"/>
  </r>
  <r>
    <s v="3e864ce9-3ce4-6a39-739f-e6b10d8ed1e9"/>
    <x v="7"/>
    <x v="41"/>
    <x v="1"/>
    <x v="0"/>
    <x v="4"/>
    <n v="1.70325203252032"/>
    <n v="4776.0244259762903"/>
  </r>
  <r>
    <s v="3e91cad9-ea10-2786-aa05-18c193ecdf3a"/>
    <x v="15"/>
    <x v="35"/>
    <x v="1"/>
    <x v="0"/>
    <x v="2"/>
    <n v="1.2073170731707299"/>
    <n v="3175.0838023974802"/>
  </r>
  <r>
    <s v="3e9dc1fe-9c86-8b77-4b85-d359f0db4696"/>
    <x v="28"/>
    <x v="47"/>
    <x v="1"/>
    <x v="0"/>
    <x v="4"/>
    <n v="1.70325203252032"/>
    <n v="4025.22175139811"/>
  </r>
  <r>
    <s v="3ea6efdf-e4ad-16c3-318f-ec0ce004fa1f"/>
    <x v="28"/>
    <x v="13"/>
    <x v="0"/>
    <x v="0"/>
    <x v="4"/>
    <n v="1.70325203252032"/>
    <n v="1459.37053748464"/>
  </r>
  <r>
    <s v="3ebcca2a-3087-5220-5caa-1e7f949ff7d6"/>
    <x v="9"/>
    <x v="2"/>
    <x v="0"/>
    <x v="0"/>
    <x v="4"/>
    <n v="1.70325203252032"/>
    <n v="1449.0077575687101"/>
  </r>
  <r>
    <s v="3f030b7b-884d-b223-cdf4-19c6e9a4b453"/>
    <x v="15"/>
    <x v="15"/>
    <x v="1"/>
    <x v="0"/>
    <x v="7"/>
    <n v="0.46341463414634099"/>
    <n v="1346.5785308404199"/>
  </r>
  <r>
    <s v="3f0513b6-6b7c-2c66-dc3f-ff31334d892a"/>
    <x v="34"/>
    <x v="16"/>
    <x v="1"/>
    <x v="0"/>
    <x v="5"/>
    <n v="0.53252032520325199"/>
    <n v="1322.85160724859"/>
  </r>
  <r>
    <s v="3f1c905c-aace-40a0-0c2e-cfcdca4840e3"/>
    <x v="34"/>
    <x v="35"/>
    <x v="1"/>
    <x v="0"/>
    <x v="9"/>
    <n v="1.61788617886178"/>
    <n v="4254.8261055696903"/>
  </r>
  <r>
    <s v="3f1f205b-06e4-19e8-7ffa-f0270267304f"/>
    <x v="6"/>
    <x v="33"/>
    <x v="1"/>
    <x v="0"/>
    <x v="0"/>
    <n v="1.1544715447154399"/>
    <n v="3680.2591624404099"/>
  </r>
  <r>
    <s v="3f31356f-5ac7-2597-d12c-c2bcec5ff42e"/>
    <x v="39"/>
    <x v="28"/>
    <x v="0"/>
    <x v="0"/>
    <x v="1"/>
    <n v="0.66666666666666596"/>
    <n v="604.71996721590199"/>
  </r>
  <r>
    <s v="3f4a61be-f830-a2d8-4320-8e50d3b79177"/>
    <x v="6"/>
    <x v="31"/>
    <x v="1"/>
    <x v="0"/>
    <x v="4"/>
    <n v="1.70325203252032"/>
    <n v="5314.8314284320704"/>
  </r>
  <r>
    <s v="3f6617a2-2249-173b-7512-e082e0bd548b"/>
    <x v="2"/>
    <x v="19"/>
    <x v="0"/>
    <x v="0"/>
    <x v="3"/>
    <n v="1.11788617886178"/>
    <n v="1144.6055230537299"/>
  </r>
  <r>
    <s v="3f67c305-e3b5-32de-8e2b-d3ef83f5f40d"/>
    <x v="28"/>
    <x v="9"/>
    <x v="0"/>
    <x v="0"/>
    <x v="7"/>
    <n v="0.46341463414634099"/>
    <n v="509.53806267373602"/>
  </r>
  <r>
    <s v="3f8cd279-d778-ffaf-6471-e07a0895c699"/>
    <x v="13"/>
    <x v="25"/>
    <x v="1"/>
    <x v="0"/>
    <x v="2"/>
    <n v="1.2073170731707299"/>
    <n v="3085.8565802183698"/>
  </r>
  <r>
    <s v="3f948478-d7ef-1a97-d7ea-129e329f87e1"/>
    <x v="1"/>
    <x v="16"/>
    <x v="1"/>
    <x v="0"/>
    <x v="1"/>
    <n v="0.66666666666666596"/>
    <n v="1656.08903502877"/>
  </r>
  <r>
    <s v="3f9e6679-e290-e5ca-8dcb-e5fa486d351f"/>
    <x v="2"/>
    <x v="43"/>
    <x v="0"/>
    <x v="0"/>
    <x v="9"/>
    <n v="1.61788617886178"/>
    <n v="1300.1122495975501"/>
  </r>
  <r>
    <s v="3fa2f7c1-23e1-b462-e274-6b9e0c200763"/>
    <x v="28"/>
    <x v="15"/>
    <x v="0"/>
    <x v="0"/>
    <x v="3"/>
    <n v="1.11788617886178"/>
    <n v="1128.40787872894"/>
  </r>
  <r>
    <s v="3fd585b5-99a7-9aac-82ed-75369fe406ea"/>
    <x v="28"/>
    <x v="15"/>
    <x v="1"/>
    <x v="0"/>
    <x v="9"/>
    <n v="1.61788617886178"/>
    <n v="4701.2127655656896"/>
  </r>
  <r>
    <s v="3fdbebbe-ad33-0c4d-2141-645f6188dcf8"/>
    <x v="6"/>
    <x v="7"/>
    <x v="1"/>
    <x v="0"/>
    <x v="1"/>
    <n v="0.66666666666666596"/>
    <n v="2050.8296714181201"/>
  </r>
  <r>
    <s v="3fe25919-dfab-6630-567f-7ccedd9a4d35"/>
    <x v="14"/>
    <x v="9"/>
    <x v="1"/>
    <x v="0"/>
    <x v="4"/>
    <n v="1.70325203252032"/>
    <n v="5391.1227684224696"/>
  </r>
  <r>
    <s v="3ff2feb8-35b9-75ac-2756-425afc05a788"/>
    <x v="15"/>
    <x v="4"/>
    <x v="0"/>
    <x v="0"/>
    <x v="3"/>
    <n v="1.11788617886178"/>
    <n v="1220.42082661668"/>
  </r>
  <r>
    <s v="3ff87efd-9120-418f-0869-f62e7c6341e6"/>
    <x v="15"/>
    <x v="42"/>
    <x v="0"/>
    <x v="0"/>
    <x v="9"/>
    <n v="1.61788617886178"/>
    <n v="1564.7584516254201"/>
  </r>
  <r>
    <s v="4006b42d-46de-4c0f-7504-31fc12508b75"/>
    <x v="17"/>
    <x v="38"/>
    <x v="0"/>
    <x v="0"/>
    <x v="2"/>
    <n v="1.2073170731707299"/>
    <n v="1134.8572290838899"/>
  </r>
  <r>
    <s v="405639cf-e354-c104-5b9c-940a448e911f"/>
    <x v="15"/>
    <x v="31"/>
    <x v="0"/>
    <x v="0"/>
    <x v="5"/>
    <n v="0.53252032520325199"/>
    <n v="577.23592013141297"/>
  </r>
  <r>
    <s v="4073f68d-d4cf-26c6-c9d5-61bcb24214ad"/>
    <x v="28"/>
    <x v="34"/>
    <x v="0"/>
    <x v="0"/>
    <x v="8"/>
    <n v="0.19512195121951201"/>
    <n v="184.722960473744"/>
  </r>
  <r>
    <s v="408e76f0-8565-b500-cffc-81697fdbbacc"/>
    <x v="6"/>
    <x v="4"/>
    <x v="0"/>
    <x v="0"/>
    <x v="5"/>
    <n v="0.53252032520325199"/>
    <n v="581.36410286104001"/>
  </r>
  <r>
    <s v="40ce8ec1-a365-7f13-92f6-b4e934e0817f"/>
    <x v="21"/>
    <x v="1"/>
    <x v="0"/>
    <x v="0"/>
    <x v="1"/>
    <n v="0.66666666666666596"/>
    <n v="587.72593297019898"/>
  </r>
  <r>
    <s v="41033c5a-edb3-b4d3-36be-4826cd817bec"/>
    <x v="1"/>
    <x v="14"/>
    <x v="1"/>
    <x v="0"/>
    <x v="7"/>
    <n v="0.46341463414634099"/>
    <n v="1192.94110541486"/>
  </r>
  <r>
    <s v="410b40dc-cfae-5a24-3797-2132d9a7389c"/>
    <x v="17"/>
    <x v="0"/>
    <x v="1"/>
    <x v="0"/>
    <x v="8"/>
    <n v="0.19512195121951201"/>
    <n v="491.66670381320398"/>
  </r>
  <r>
    <s v="41ac2d0e-e2e6-956d-ea24-415c142fad52"/>
    <x v="25"/>
    <x v="12"/>
    <x v="1"/>
    <x v="0"/>
    <x v="0"/>
    <n v="1.1544715447154399"/>
    <n v="3451.6331348395101"/>
  </r>
  <r>
    <s v="41e6671c-0d5e-e35a-e50c-ef9e595adf3a"/>
    <x v="2"/>
    <x v="28"/>
    <x v="0"/>
    <x v="0"/>
    <x v="2"/>
    <n v="1.2073170731707299"/>
    <n v="1095.1331113604999"/>
  </r>
  <r>
    <s v="41f123d6-263b-a289-b0dc-f393afaa04f0"/>
    <x v="34"/>
    <x v="19"/>
    <x v="0"/>
    <x v="0"/>
    <x v="0"/>
    <n v="1.1544715447154399"/>
    <n v="1182.06534017185"/>
  </r>
  <r>
    <s v="41fdd119-f6e1-63f9-82f5-e5204e1bc961"/>
    <x v="28"/>
    <x v="33"/>
    <x v="1"/>
    <x v="0"/>
    <x v="3"/>
    <n v="1.11788617886178"/>
    <n v="3563.6312312363102"/>
  </r>
  <r>
    <s v="422370ba-41cf-e7bd-9cf2-7c77fd97568f"/>
    <x v="7"/>
    <x v="6"/>
    <x v="0"/>
    <x v="0"/>
    <x v="8"/>
    <n v="0.19512195121951201"/>
    <n v="187.37455203808699"/>
  </r>
  <r>
    <s v="4247ece9-9c34-b861-df07-8c25938f5456"/>
    <x v="13"/>
    <x v="15"/>
    <x v="0"/>
    <x v="0"/>
    <x v="0"/>
    <n v="1.1544715447154399"/>
    <n v="1165.3375911236999"/>
  </r>
  <r>
    <s v="424f76e7-17ab-b342-f152-384afba2f008"/>
    <x v="35"/>
    <x v="13"/>
    <x v="0"/>
    <x v="0"/>
    <x v="0"/>
    <n v="1.1544715447154399"/>
    <n v="989.167619679327"/>
  </r>
  <r>
    <s v="425961a9-c804-6efd-07a9-214681da3ad9"/>
    <x v="33"/>
    <x v="17"/>
    <x v="1"/>
    <x v="0"/>
    <x v="9"/>
    <n v="1.61788617886178"/>
    <n v="4440.6955288403997"/>
  </r>
  <r>
    <s v="425b4ece-37a5-1e19-9960-800a889b0449"/>
    <x v="13"/>
    <x v="43"/>
    <x v="1"/>
    <x v="0"/>
    <x v="5"/>
    <n v="0.53252032520325199"/>
    <n v="1231.8632310691401"/>
  </r>
  <r>
    <s v="4268b2ee-1ed0-9fb8-3f79-f358f2cdb70b"/>
    <x v="15"/>
    <x v="43"/>
    <x v="0"/>
    <x v="0"/>
    <x v="9"/>
    <n v="1.61788617886178"/>
    <n v="1300.1122495975501"/>
  </r>
  <r>
    <s v="42714a4e-2c59-71f3-84fe-2a1165b84465"/>
    <x v="10"/>
    <x v="18"/>
    <x v="1"/>
    <x v="0"/>
    <x v="8"/>
    <n v="0.19512195121951201"/>
    <n v="595.98059280334996"/>
  </r>
  <r>
    <s v="428a76ba-f9c3-de50-5af3-93f7000a0cf6"/>
    <x v="6"/>
    <x v="45"/>
    <x v="1"/>
    <x v="0"/>
    <x v="8"/>
    <n v="0.19512195121951201"/>
    <n v="571.03527323674996"/>
  </r>
  <r>
    <s v="42994b25-3975-92a4-7e08-7ab0f8e2111d"/>
    <x v="8"/>
    <x v="18"/>
    <x v="1"/>
    <x v="0"/>
    <x v="1"/>
    <n v="0.66666666666666596"/>
    <n v="2036.26702541144"/>
  </r>
  <r>
    <s v="42ac8548-c397-508d-e289-9f76d417b426"/>
    <x v="15"/>
    <x v="19"/>
    <x v="1"/>
    <x v="0"/>
    <x v="9"/>
    <n v="1.61788617886178"/>
    <n v="4768.69596353624"/>
  </r>
  <r>
    <s v="42c5728a-96f9-9b4b-844c-602f9e097bfe"/>
    <x v="35"/>
    <x v="29"/>
    <x v="0"/>
    <x v="0"/>
    <x v="6"/>
    <n v="1.1341463414634101"/>
    <n v="1050.9916244369499"/>
  </r>
  <r>
    <s v="42db58d5-65bf-1782-b60b-41b788e4cdce"/>
    <x v="16"/>
    <x v="3"/>
    <x v="0"/>
    <x v="0"/>
    <x v="5"/>
    <n v="0.53252032520325199"/>
    <n v="557.030570015276"/>
  </r>
  <r>
    <s v="42f45a3e-72d2-c8ba-5c93-895a680b4ee0"/>
    <x v="25"/>
    <x v="7"/>
    <x v="1"/>
    <x v="1"/>
    <x v="8"/>
    <n v="0.19512195121951201"/>
    <n v="644.60637100705003"/>
  </r>
  <r>
    <s v="432a74e8-151b-0fcf-6161-2766761b8d9a"/>
    <x v="21"/>
    <x v="16"/>
    <x v="0"/>
    <x v="0"/>
    <x v="1"/>
    <n v="0.66666666666666596"/>
    <n v="575.29455425856895"/>
  </r>
  <r>
    <s v="432b8d52-2986-44e6-afa7-75f96e427fc4"/>
    <x v="35"/>
    <x v="8"/>
    <x v="0"/>
    <x v="0"/>
    <x v="9"/>
    <n v="1.61788617886178"/>
    <n v="1457.13123943752"/>
  </r>
  <r>
    <s v="433cf01a-f3cf-3ef8-3993-69745e784650"/>
    <x v="34"/>
    <x v="29"/>
    <x v="0"/>
    <x v="0"/>
    <x v="5"/>
    <n v="0.53252032520325199"/>
    <n v="493.47635412631001"/>
  </r>
  <r>
    <s v="434a2533-f1ba-1977-cb1c-66d35b52c67e"/>
    <x v="17"/>
    <x v="13"/>
    <x v="0"/>
    <x v="0"/>
    <x v="9"/>
    <n v="1.61788617886178"/>
    <n v="1386.2278613815899"/>
  </r>
  <r>
    <s v="43b8878d-65ce-4c8b-d8dc-e6f1fd2738b0"/>
    <x v="14"/>
    <x v="25"/>
    <x v="1"/>
    <x v="0"/>
    <x v="0"/>
    <n v="1.1544715447154399"/>
    <n v="2950.7854167744699"/>
  </r>
  <r>
    <s v="43eaa02b-456a-00e3-54bd-671e40926918"/>
    <x v="48"/>
    <x v="43"/>
    <x v="1"/>
    <x v="0"/>
    <x v="1"/>
    <n v="0.66666666666666596"/>
    <n v="1542.1799228651901"/>
  </r>
  <r>
    <s v="44517332-642a-500b-29f9-6d4e99c1f46e"/>
    <x v="27"/>
    <x v="16"/>
    <x v="1"/>
    <x v="0"/>
    <x v="5"/>
    <n v="0.53252032520325199"/>
    <n v="1322.85160724859"/>
  </r>
  <r>
    <s v="445d91bb-cb0f-7c38-a602-82fa18530270"/>
    <x v="49"/>
    <x v="39"/>
    <x v="1"/>
    <x v="0"/>
    <x v="4"/>
    <n v="1.70325203252032"/>
    <n v="4844.5815021867302"/>
  </r>
  <r>
    <s v="448f65ec-ab8a-9def-5795-e6ef1489bb4a"/>
    <x v="9"/>
    <x v="8"/>
    <x v="1"/>
    <x v="0"/>
    <x v="3"/>
    <n v="1.11788617886178"/>
    <n v="2898.2891405138898"/>
  </r>
  <r>
    <s v="44d8387b-e0dd-a2b6-5c15-70f6f1cc712a"/>
    <x v="25"/>
    <x v="47"/>
    <x v="0"/>
    <x v="0"/>
    <x v="3"/>
    <n v="1.11788617886178"/>
    <n v="917.73028374089404"/>
  </r>
  <r>
    <s v="44ea2932-2f46-d110-c164-26394b6a93e4"/>
    <x v="15"/>
    <x v="34"/>
    <x v="1"/>
    <x v="0"/>
    <x v="5"/>
    <n v="0.53252032520325199"/>
    <n v="1451.2570991288201"/>
  </r>
  <r>
    <s v="44ea32a2-0ddc-f8c7-b3db-5bd2e559f432"/>
    <x v="6"/>
    <x v="37"/>
    <x v="1"/>
    <x v="0"/>
    <x v="9"/>
    <n v="1.61788617886178"/>
    <n v="3850.8244768749501"/>
  </r>
  <r>
    <s v="44f4f867-ef9b-277c-8f53-bc407b964264"/>
    <x v="4"/>
    <x v="1"/>
    <x v="1"/>
    <x v="0"/>
    <x v="1"/>
    <n v="0.66666666666666596"/>
    <n v="1691.87499862293"/>
  </r>
  <r>
    <s v="450a4537-b3a5-20be-c15a-3adfdb780cb5"/>
    <x v="13"/>
    <x v="7"/>
    <x v="1"/>
    <x v="0"/>
    <x v="3"/>
    <n v="1.11788617886178"/>
    <n v="3438.8912173169701"/>
  </r>
  <r>
    <s v="453f211c-89a1-8ba8-ec01-1d25eb9743fc"/>
    <x v="17"/>
    <x v="1"/>
    <x v="0"/>
    <x v="0"/>
    <x v="1"/>
    <n v="0.66666666666666596"/>
    <n v="587.72593297019898"/>
  </r>
  <r>
    <s v="45605767-2128-d9d6-2a45-d5cdf864cb22"/>
    <x v="38"/>
    <x v="13"/>
    <x v="1"/>
    <x v="0"/>
    <x v="3"/>
    <n v="1.11788617886178"/>
    <n v="2757.2596401618398"/>
  </r>
  <r>
    <s v="4591f79d-8c11-1d51-09c5-4ab6a779ddc0"/>
    <x v="9"/>
    <x v="34"/>
    <x v="1"/>
    <x v="0"/>
    <x v="0"/>
    <n v="1.1544715447154399"/>
    <n v="3146.2367645235599"/>
  </r>
  <r>
    <s v="462057d7-b956-8416-10ef-f36814a1477b"/>
    <x v="28"/>
    <x v="6"/>
    <x v="1"/>
    <x v="0"/>
    <x v="9"/>
    <n v="1.61788617886178"/>
    <n v="4472.4537787177196"/>
  </r>
  <r>
    <s v="4651e315-df57-e644-6601-e6a0af34cfc7"/>
    <x v="1"/>
    <x v="43"/>
    <x v="0"/>
    <x v="0"/>
    <x v="0"/>
    <n v="1.1544715447154399"/>
    <n v="927.71828865755197"/>
  </r>
  <r>
    <s v="465c4099-b1e6-4435-d646-c44a70703213"/>
    <x v="1"/>
    <x v="46"/>
    <x v="0"/>
    <x v="0"/>
    <x v="3"/>
    <n v="1.11788617886178"/>
    <n v="930.90377269142095"/>
  </r>
  <r>
    <s v="4684dd3e-1ca3-6f00-9a0a-befd0602429c"/>
    <x v="14"/>
    <x v="46"/>
    <x v="1"/>
    <x v="0"/>
    <x v="4"/>
    <n v="1.70325203252032"/>
    <n v="4083.0014882171999"/>
  </r>
  <r>
    <s v="4696e789-36cd-204b-40ff-7cba434711a8"/>
    <x v="47"/>
    <x v="40"/>
    <x v="0"/>
    <x v="0"/>
    <x v="4"/>
    <n v="1.70325203252032"/>
    <n v="1694.95320135165"/>
  </r>
  <r>
    <s v="469b4d6c-4f57-f39f-b972-cef93b9e2d76"/>
    <x v="1"/>
    <x v="9"/>
    <x v="0"/>
    <x v="0"/>
    <x v="0"/>
    <n v="1.1544715447154399"/>
    <n v="1269.3755245556199"/>
  </r>
  <r>
    <s v="46ab8731-da56-ee2c-c183-9ed114b79e6b"/>
    <x v="15"/>
    <x v="7"/>
    <x v="0"/>
    <x v="0"/>
    <x v="4"/>
    <n v="1.70325203252032"/>
    <n v="1820.14651470128"/>
  </r>
  <r>
    <s v="46ba0bf6-5bbb-63e3-7b61-ac5c8ba77336"/>
    <x v="9"/>
    <x v="0"/>
    <x v="0"/>
    <x v="0"/>
    <x v="3"/>
    <n v="1.11788617886178"/>
    <n v="978.51803869170703"/>
  </r>
  <r>
    <s v="46f1606e-2eda-1724-d325-2145b6ede86a"/>
    <x v="22"/>
    <x v="10"/>
    <x v="1"/>
    <x v="0"/>
    <x v="5"/>
    <n v="0.53252032520325199"/>
    <n v="1294.87110071234"/>
  </r>
  <r>
    <s v="4709a1de-bf0a-0f45-92fc-5bb1f93ca545"/>
    <x v="6"/>
    <x v="34"/>
    <x v="0"/>
    <x v="0"/>
    <x v="0"/>
    <n v="1.1544715447154399"/>
    <n v="1092.9441828029801"/>
  </r>
  <r>
    <s v="470db812-a86f-024f-41c4-979f3f11b9ed"/>
    <x v="13"/>
    <x v="28"/>
    <x v="1"/>
    <x v="0"/>
    <x v="7"/>
    <n v="0.46341463414634099"/>
    <n v="1210.0650869911799"/>
  </r>
  <r>
    <s v="471ba6b8-c2ed-560e-2539-4c160c0b832e"/>
    <x v="6"/>
    <x v="14"/>
    <x v="1"/>
    <x v="0"/>
    <x v="9"/>
    <n v="1.61788617886178"/>
    <n v="4164.8294732904897"/>
  </r>
  <r>
    <s v="473d7114-de8e-9f4d-6235-ce52d8ea1e25"/>
    <x v="6"/>
    <x v="16"/>
    <x v="0"/>
    <x v="0"/>
    <x v="4"/>
    <n v="1.70325203252032"/>
    <n v="1469.8074282581699"/>
  </r>
  <r>
    <s v="4759b9ee-023b-4346-f16d-363362e58ec4"/>
    <x v="28"/>
    <x v="25"/>
    <x v="1"/>
    <x v="0"/>
    <x v="4"/>
    <n v="1.70325203252032"/>
    <n v="4353.4474986919104"/>
  </r>
  <r>
    <s v="47703366-c44e-169d-def9-2fe4eb053b55"/>
    <x v="17"/>
    <x v="28"/>
    <x v="0"/>
    <x v="0"/>
    <x v="8"/>
    <n v="0.19512195121951201"/>
    <n v="176.99120991684899"/>
  </r>
  <r>
    <s v="47794196-8aee-ac94-31be-d1a8f7e759b5"/>
    <x v="2"/>
    <x v="0"/>
    <x v="0"/>
    <x v="0"/>
    <x v="6"/>
    <n v="1.1341463414634101"/>
    <n v="992.75102834540496"/>
  </r>
  <r>
    <s v="47fb5312-815b-7efb-0d49-62bb750038d0"/>
    <x v="1"/>
    <x v="41"/>
    <x v="0"/>
    <x v="0"/>
    <x v="0"/>
    <n v="1.1544715447154399"/>
    <n v="1124.5465502148299"/>
  </r>
  <r>
    <s v="4829e134-32c9-b877-99c6-fcd235d65f2e"/>
    <x v="25"/>
    <x v="18"/>
    <x v="0"/>
    <x v="0"/>
    <x v="2"/>
    <n v="1.2073170731707299"/>
    <n v="1281.01410314131"/>
  </r>
  <r>
    <s v="484e6e2e-2ac7-96e9-edd3-3b44002a0e7e"/>
    <x v="28"/>
    <x v="5"/>
    <x v="1"/>
    <x v="0"/>
    <x v="4"/>
    <n v="1.70325203252032"/>
    <n v="5056.2140219319399"/>
  </r>
  <r>
    <s v="4875cad9-594a-46a4-414a-6f1892580762"/>
    <x v="6"/>
    <x v="23"/>
    <x v="0"/>
    <x v="0"/>
    <x v="9"/>
    <n v="1.61788617886178"/>
    <n v="1488.6179798140899"/>
  </r>
  <r>
    <s v="487fdf66-883a-6c39-0f8c-918ab9c21bb7"/>
    <x v="6"/>
    <x v="30"/>
    <x v="1"/>
    <x v="0"/>
    <x v="7"/>
    <n v="0.46341463414634099"/>
    <n v="1079.66969606311"/>
  </r>
  <r>
    <s v="4884bac8-262c-9492-22d4-c6116dfd73f0"/>
    <x v="8"/>
    <x v="32"/>
    <x v="1"/>
    <x v="0"/>
    <x v="4"/>
    <n v="1.70325203252032"/>
    <n v="4261.3648603030697"/>
  </r>
  <r>
    <s v="488a43e1-fc18-a7fd-95f2-2a4147668768"/>
    <x v="17"/>
    <x v="28"/>
    <x v="0"/>
    <x v="0"/>
    <x v="7"/>
    <n v="0.46341463414634099"/>
    <n v="420.35412355251702"/>
  </r>
  <r>
    <s v="48c898eb-b40e-426e-299e-f4350392ad2e"/>
    <x v="15"/>
    <x v="36"/>
    <x v="1"/>
    <x v="0"/>
    <x v="3"/>
    <n v="1.11788617886178"/>
    <n v="3157.0399222307001"/>
  </r>
  <r>
    <s v="49174f79-5ec9-b1ff-5d38-b203060d801f"/>
    <x v="20"/>
    <x v="26"/>
    <x v="0"/>
    <x v="1"/>
    <x v="3"/>
    <n v="1.11788617886178"/>
    <n v="1264.7448043075999"/>
  </r>
  <r>
    <s v="493990e5-0962-3988-c2f6-382573c3f43d"/>
    <x v="1"/>
    <x v="14"/>
    <x v="0"/>
    <x v="0"/>
    <x v="6"/>
    <n v="1.1341463414634101"/>
    <n v="1014.20310695168"/>
  </r>
  <r>
    <s v="496e6fb2-f3d8-41c9-4a07-caf59fba850c"/>
    <x v="22"/>
    <x v="16"/>
    <x v="0"/>
    <x v="0"/>
    <x v="5"/>
    <n v="0.53252032520325199"/>
    <n v="459.53406468215002"/>
  </r>
  <r>
    <s v="4984a562-f15a-73de-fa9f-c2026917ec9e"/>
    <x v="1"/>
    <x v="13"/>
    <x v="1"/>
    <x v="0"/>
    <x v="2"/>
    <n v="1.2073170731707299"/>
    <n v="2977.8404113747802"/>
  </r>
  <r>
    <s v="499e2869-c707-5fd9-55d1-673860700643"/>
    <x v="15"/>
    <x v="27"/>
    <x v="1"/>
    <x v="0"/>
    <x v="8"/>
    <n v="0.19512195121951201"/>
    <n v="604.53555049965701"/>
  </r>
  <r>
    <s v="499e50ef-e03c-2b13-9816-53c49617ba60"/>
    <x v="18"/>
    <x v="28"/>
    <x v="1"/>
    <x v="0"/>
    <x v="6"/>
    <n v="1.1341463414634101"/>
    <n v="2961.4750813205301"/>
  </r>
  <r>
    <s v="49b5ff1e-d5bd-58fa-ac0c-ce06e0c5d86a"/>
    <x v="36"/>
    <x v="16"/>
    <x v="0"/>
    <x v="0"/>
    <x v="1"/>
    <n v="0.66666666666666596"/>
    <n v="575.29455425856895"/>
  </r>
  <r>
    <s v="49b91a4d-7cf3-fa74-7946-39f8b59f7623"/>
    <x v="3"/>
    <x v="42"/>
    <x v="1"/>
    <x v="0"/>
    <x v="8"/>
    <n v="0.19512195121951201"/>
    <n v="543.24894296961099"/>
  </r>
  <r>
    <s v="49d355e1-7ccb-5191-caa6-c58eebd23819"/>
    <x v="13"/>
    <x v="21"/>
    <x v="0"/>
    <x v="0"/>
    <x v="0"/>
    <n v="1.1544715447154399"/>
    <n v="1157.0626967946801"/>
  </r>
  <r>
    <s v="49e4994d-23e3-15ef-d651-4504675ea43a"/>
    <x v="17"/>
    <x v="22"/>
    <x v="1"/>
    <x v="0"/>
    <x v="9"/>
    <n v="1.61788617886178"/>
    <n v="4346.7674498409397"/>
  </r>
  <r>
    <s v="49e4e133-b7ea-da5e-f33e-903b262b0825"/>
    <x v="7"/>
    <x v="18"/>
    <x v="1"/>
    <x v="0"/>
    <x v="1"/>
    <n v="0.66666666666666596"/>
    <n v="2036.26702541144"/>
  </r>
  <r>
    <s v="49edd034-f75e-f9e2-9ec8-e946e81b6de7"/>
    <x v="13"/>
    <x v="6"/>
    <x v="0"/>
    <x v="0"/>
    <x v="1"/>
    <n v="0.66666666666666596"/>
    <n v="640.19638613013205"/>
  </r>
  <r>
    <s v="49f1d353-3e7f-dea1-b51c-ea60bbd930d6"/>
    <x v="15"/>
    <x v="26"/>
    <x v="1"/>
    <x v="0"/>
    <x v="6"/>
    <n v="1.1341463414634101"/>
    <n v="3439.53885656693"/>
  </r>
  <r>
    <s v="4a59d824-f212-02c6-5da1-5257ccb3addf"/>
    <x v="46"/>
    <x v="25"/>
    <x v="0"/>
    <x v="0"/>
    <x v="5"/>
    <n v="0.53252032520325199"/>
    <n v="472.82144438446898"/>
  </r>
  <r>
    <s v="4a99c432-877e-5404-01e2-c31c0448dee4"/>
    <x v="16"/>
    <x v="2"/>
    <x v="1"/>
    <x v="0"/>
    <x v="6"/>
    <n v="1.1341463414634101"/>
    <n v="2777.5015474478801"/>
  </r>
  <r>
    <s v="4a9f25c2-ec31-8c67-4f57-f5aa10fd8e9c"/>
    <x v="29"/>
    <x v="35"/>
    <x v="0"/>
    <x v="0"/>
    <x v="0"/>
    <n v="1.1544715447154399"/>
    <n v="1054.6871736655401"/>
  </r>
  <r>
    <s v="4af1f538-c4d6-581a-3bbf-004ab0d8fbe9"/>
    <x v="17"/>
    <x v="3"/>
    <x v="0"/>
    <x v="0"/>
    <x v="4"/>
    <n v="1.70325203252032"/>
    <n v="1781.64739569771"/>
  </r>
  <r>
    <s v="4b173630-5fa6-7d6b-a75f-0cee55fd206f"/>
    <x v="22"/>
    <x v="47"/>
    <x v="0"/>
    <x v="0"/>
    <x v="4"/>
    <n v="1.70325203252032"/>
    <n v="1398.2872323179399"/>
  </r>
  <r>
    <s v="4b43a168-9283-b21e-10c6-88e24cbd40f7"/>
    <x v="1"/>
    <x v="36"/>
    <x v="1"/>
    <x v="0"/>
    <x v="5"/>
    <n v="0.53252032520325199"/>
    <n v="1503.8990174989799"/>
  </r>
  <r>
    <s v="4b4c9396-13e5-c3e1-229e-0ca592380dc4"/>
    <x v="2"/>
    <x v="5"/>
    <x v="1"/>
    <x v="0"/>
    <x v="0"/>
    <n v="1.1544715447154399"/>
    <n v="3427.1235852712898"/>
  </r>
  <r>
    <s v="4b81876e-6eed-b884-7850-8b46a379123b"/>
    <x v="13"/>
    <x v="36"/>
    <x v="1"/>
    <x v="0"/>
    <x v="5"/>
    <n v="0.53252032520325199"/>
    <n v="1503.8990174989799"/>
  </r>
  <r>
    <s v="4b875914-4381-8a10-84a4-4106e1eea752"/>
    <x v="1"/>
    <x v="10"/>
    <x v="0"/>
    <x v="0"/>
    <x v="7"/>
    <n v="0.46341463414634099"/>
    <n v="391.441327201967"/>
  </r>
  <r>
    <s v="4be887eb-a2c3-e525-408d-80d8193bf94c"/>
    <x v="39"/>
    <x v="30"/>
    <x v="0"/>
    <x v="0"/>
    <x v="4"/>
    <n v="1.70325203252032"/>
    <n v="1378.4996646391201"/>
  </r>
  <r>
    <s v="4beac553-6a54-6d0b-ac97-8d58dc42e0c8"/>
    <x v="1"/>
    <x v="16"/>
    <x v="1"/>
    <x v="0"/>
    <x v="1"/>
    <n v="0.66666666666666596"/>
    <n v="1656.08903502877"/>
  </r>
  <r>
    <s v="4c1530ca-9285-42b0-be9d-9360796b6866"/>
    <x v="3"/>
    <x v="9"/>
    <x v="0"/>
    <x v="1"/>
    <x v="2"/>
    <n v="1.2073170731707299"/>
    <n v="1425.5939431888401"/>
  </r>
  <r>
    <s v="4c204629-86c6-32c6-77df-238f3e072448"/>
    <x v="2"/>
    <x v="10"/>
    <x v="1"/>
    <x v="0"/>
    <x v="9"/>
    <n v="1.61788617886178"/>
    <n v="3934.0358632329198"/>
  </r>
  <r>
    <s v="4c5e4232-26d6-7aa6-c5f4-3495790860e7"/>
    <x v="6"/>
    <x v="36"/>
    <x v="1"/>
    <x v="0"/>
    <x v="0"/>
    <n v="1.1544715447154399"/>
    <n v="3260.3612287764299"/>
  </r>
  <r>
    <s v="4c6c070e-38b2-eddf-83af-d52752dc8a53"/>
    <x v="1"/>
    <x v="22"/>
    <x v="1"/>
    <x v="0"/>
    <x v="8"/>
    <n v="0.19512195121951201"/>
    <n v="524.23326028232498"/>
  </r>
  <r>
    <s v="4cd0d48d-4c90-98a7-a891-e987be08a6eb"/>
    <x v="23"/>
    <x v="27"/>
    <x v="0"/>
    <x v="0"/>
    <x v="5"/>
    <n v="0.53252032520325199"/>
    <n v="573.13705103254802"/>
  </r>
  <r>
    <s v="4cf72c28-5cda-bbdd-9c61-03f4eaf4a0e9"/>
    <x v="9"/>
    <x v="0"/>
    <x v="1"/>
    <x v="0"/>
    <x v="9"/>
    <n v="1.61788617886178"/>
    <n v="4076.7364191178099"/>
  </r>
  <r>
    <s v="4d1477b2-57f3-4c3a-5e0b-89bd168ece61"/>
    <x v="22"/>
    <x v="34"/>
    <x v="1"/>
    <x v="0"/>
    <x v="8"/>
    <n v="0.19512195121951201"/>
    <n v="531.75832639834903"/>
  </r>
  <r>
    <s v="4d5da37b-91c9-0863-af32-eeb8cb32a4a0"/>
    <x v="13"/>
    <x v="10"/>
    <x v="0"/>
    <x v="0"/>
    <x v="9"/>
    <n v="1.61788617886178"/>
    <n v="1366.6109493542299"/>
  </r>
  <r>
    <s v="4d65e40a-eba4-2f5a-4b39-d2456777ec56"/>
    <x v="6"/>
    <x v="11"/>
    <x v="0"/>
    <x v="0"/>
    <x v="2"/>
    <n v="1.2073170731707299"/>
    <n v="963.29512796916799"/>
  </r>
  <r>
    <s v="4d6ec91c-cfe0-6bae-4d58-cce9980bab20"/>
    <x v="7"/>
    <x v="39"/>
    <x v="0"/>
    <x v="0"/>
    <x v="8"/>
    <n v="0.19512195121951201"/>
    <n v="192.79246772885099"/>
  </r>
  <r>
    <s v="4d7000d0-7615-b8a2-f820-7cda176d83ee"/>
    <x v="45"/>
    <x v="19"/>
    <x v="0"/>
    <x v="0"/>
    <x v="6"/>
    <n v="1.1341463414634101"/>
    <n v="1161.2543306617799"/>
  </r>
  <r>
    <s v="4db02fe1-285a-3516-b518-e49ee04c799d"/>
    <x v="1"/>
    <x v="36"/>
    <x v="0"/>
    <x v="0"/>
    <x v="3"/>
    <n v="1.11788617886178"/>
    <n v="1096.69699902618"/>
  </r>
  <r>
    <s v="4dda2654-82aa-56be-4265-61d64714793e"/>
    <x v="2"/>
    <x v="18"/>
    <x v="0"/>
    <x v="0"/>
    <x v="6"/>
    <n v="1.1341463414634101"/>
    <n v="1203.3768847690999"/>
  </r>
  <r>
    <s v="4ddce1cd-984c-edaf-cfed-529e57541a82"/>
    <x v="20"/>
    <x v="7"/>
    <x v="0"/>
    <x v="0"/>
    <x v="4"/>
    <n v="1.70325203252032"/>
    <n v="1820.14651470128"/>
  </r>
  <r>
    <s v="4e092b0c-d18f-5260-ff47-f2a6982ab91a"/>
    <x v="21"/>
    <x v="19"/>
    <x v="1"/>
    <x v="0"/>
    <x v="3"/>
    <n v="1.11788617886178"/>
    <n v="3294.95324113685"/>
  </r>
  <r>
    <s v="4e321f3b-dc33-90ca-8dd3-57f1519e2398"/>
    <x v="8"/>
    <x v="23"/>
    <x v="1"/>
    <x v="0"/>
    <x v="6"/>
    <n v="1.1341463414634101"/>
    <n v="3003.98534817367"/>
  </r>
  <r>
    <s v="4e348f3d-1453-2d1f-de83-55eacd579ed5"/>
    <x v="39"/>
    <x v="27"/>
    <x v="0"/>
    <x v="0"/>
    <x v="3"/>
    <n v="1.11788617886178"/>
    <n v="1203.1502979690799"/>
  </r>
  <r>
    <s v="4e6004b7-dd6c-9202-6569-f16e05f0545b"/>
    <x v="15"/>
    <x v="15"/>
    <x v="0"/>
    <x v="0"/>
    <x v="3"/>
    <n v="1.11788617886178"/>
    <n v="1128.40787872894"/>
  </r>
  <r>
    <s v="4e9d5e3e-4101-7398-872f-4be7933c95cb"/>
    <x v="1"/>
    <x v="15"/>
    <x v="0"/>
    <x v="0"/>
    <x v="1"/>
    <n v="0.66666666666666596"/>
    <n v="672.94142586016801"/>
  </r>
  <r>
    <s v="4efc5f00-6c65-3590-96d2-1f82bda869d9"/>
    <x v="13"/>
    <x v="46"/>
    <x v="1"/>
    <x v="0"/>
    <x v="5"/>
    <n v="0.53252032520325199"/>
    <n v="1276.5470046693399"/>
  </r>
  <r>
    <s v="4f40f460-d290-5390-b78d-47f4548f68f7"/>
    <x v="25"/>
    <x v="34"/>
    <x v="1"/>
    <x v="0"/>
    <x v="5"/>
    <n v="0.53252032520325199"/>
    <n v="1451.2570991288201"/>
  </r>
  <r>
    <s v="4f9def4f-ee5b-d6cd-f70c-c460e5cd5775"/>
    <x v="39"/>
    <x v="15"/>
    <x v="1"/>
    <x v="0"/>
    <x v="1"/>
    <n v="0.66666666666666596"/>
    <n v="1937.1831496300799"/>
  </r>
  <r>
    <s v="4fa48cc1-bb7a-4624-2efa-e365527065ea"/>
    <x v="1"/>
    <x v="1"/>
    <x v="1"/>
    <x v="0"/>
    <x v="9"/>
    <n v="1.61788617886178"/>
    <n v="4105.8917649507803"/>
  </r>
  <r>
    <s v="4fad0e4d-ce00-ffaa-5ece-e74d9be7c78d"/>
    <x v="2"/>
    <x v="44"/>
    <x v="0"/>
    <x v="0"/>
    <x v="7"/>
    <n v="0.46341463414634099"/>
    <n v="377.73946148259103"/>
  </r>
  <r>
    <s v="4fbf6d50-9438-5372-48f9-18f05afa168a"/>
    <x v="6"/>
    <x v="0"/>
    <x v="0"/>
    <x v="0"/>
    <x v="9"/>
    <n v="1.61788617886178"/>
    <n v="1416.1824705429001"/>
  </r>
  <r>
    <s v="500ea6b9-096d-ea6c-2164-79cbf6847b8e"/>
    <x v="14"/>
    <x v="29"/>
    <x v="0"/>
    <x v="0"/>
    <x v="8"/>
    <n v="0.19512195121951201"/>
    <n v="180.81576334399099"/>
  </r>
  <r>
    <s v="503f5fb0-9837-8466-abea-2e85bf3833f1"/>
    <x v="23"/>
    <x v="7"/>
    <x v="0"/>
    <x v="0"/>
    <x v="8"/>
    <n v="0.19512195121951201"/>
    <n v="208.51320454811801"/>
  </r>
  <r>
    <s v="5052a181-8bb6-d990-040d-023f61668b7e"/>
    <x v="2"/>
    <x v="25"/>
    <x v="0"/>
    <x v="0"/>
    <x v="3"/>
    <n v="1.11788617886178"/>
    <n v="992.56410080709202"/>
  </r>
  <r>
    <s v="50549064-55ec-1249-5903-6ef69ff9334e"/>
    <x v="2"/>
    <x v="12"/>
    <x v="1"/>
    <x v="0"/>
    <x v="6"/>
    <n v="1.1341463414634101"/>
    <n v="3390.8649458458499"/>
  </r>
  <r>
    <s v="50cd28f1-d975-bb8b-f376-c0cdd5f074d8"/>
    <x v="0"/>
    <x v="36"/>
    <x v="0"/>
    <x v="0"/>
    <x v="6"/>
    <n v="1.1341463414634101"/>
    <n v="1112.6489553756501"/>
  </r>
  <r>
    <s v="50d9822b-b551-2a3f-b270-ffee116b0129"/>
    <x v="1"/>
    <x v="45"/>
    <x v="0"/>
    <x v="0"/>
    <x v="5"/>
    <n v="0.53252032520325199"/>
    <n v="541.37671848739603"/>
  </r>
  <r>
    <s v="510bc2b9-8f45-41de-8418-f7a2c314dac5"/>
    <x v="6"/>
    <x v="3"/>
    <x v="0"/>
    <x v="0"/>
    <x v="0"/>
    <n v="1.1544715447154399"/>
    <n v="1207.6082586590701"/>
  </r>
  <r>
    <s v="5111ee74-7c26-df70-1e83-421b483ad757"/>
    <x v="21"/>
    <x v="0"/>
    <x v="1"/>
    <x v="0"/>
    <x v="9"/>
    <n v="1.61788617886178"/>
    <n v="4076.7364191178099"/>
  </r>
  <r>
    <s v="512fdf00-8743-9b70-8429-2ed2f2220079"/>
    <x v="7"/>
    <x v="24"/>
    <x v="1"/>
    <x v="0"/>
    <x v="4"/>
    <n v="1.70325203252032"/>
    <n v="3884.3243956625602"/>
  </r>
  <r>
    <s v="5147825f-4c52-f425-513f-6bf238d3cede"/>
    <x v="6"/>
    <x v="12"/>
    <x v="0"/>
    <x v="1"/>
    <x v="2"/>
    <n v="1.2073170731707299"/>
    <n v="1346.59479694893"/>
  </r>
  <r>
    <s v="514ce87b-5782-9b32-a54f-80e10d2dd2ad"/>
    <x v="4"/>
    <x v="46"/>
    <x v="1"/>
    <x v="0"/>
    <x v="6"/>
    <n v="1.1341463414634101"/>
    <n v="2718.7527809369899"/>
  </r>
  <r>
    <s v="51771454-8ca8-8670-b07e-07d425df3568"/>
    <x v="21"/>
    <x v="39"/>
    <x v="1"/>
    <x v="0"/>
    <x v="2"/>
    <n v="1.2073170731707299"/>
    <n v="3433.9873655118299"/>
  </r>
  <r>
    <s v="51881827-a232-2ea9-aef2-831200f53e86"/>
    <x v="9"/>
    <x v="36"/>
    <x v="1"/>
    <x v="0"/>
    <x v="3"/>
    <n v="1.11788617886178"/>
    <n v="3157.0399222307001"/>
  </r>
  <r>
    <s v="519ff9b8-f4ed-d53d-5ae7-8687dc62474e"/>
    <x v="7"/>
    <x v="33"/>
    <x v="1"/>
    <x v="0"/>
    <x v="2"/>
    <n v="1.2073170731707299"/>
    <n v="3848.7217297352099"/>
  </r>
  <r>
    <s v="51afa0d7-ec0f-bf63-dde3-f55ee6228ad2"/>
    <x v="22"/>
    <x v="19"/>
    <x v="1"/>
    <x v="0"/>
    <x v="4"/>
    <n v="1.70325203252032"/>
    <n v="5020.3105746776"/>
  </r>
  <r>
    <s v="51b07445-2650-17dc-3c86-bcd52e684124"/>
    <x v="7"/>
    <x v="25"/>
    <x v="1"/>
    <x v="0"/>
    <x v="1"/>
    <n v="0.66666666666666596"/>
    <n v="1703.9746772922899"/>
  </r>
  <r>
    <s v="51cea61f-0bdd-451b-7653-b9aa0db03f02"/>
    <x v="6"/>
    <x v="13"/>
    <x v="1"/>
    <x v="0"/>
    <x v="4"/>
    <n v="1.70325203252032"/>
    <n v="4201.0610517374898"/>
  </r>
  <r>
    <s v="51f7005f-5a59-f78c-35e6-919cf397304a"/>
    <x v="7"/>
    <x v="24"/>
    <x v="0"/>
    <x v="0"/>
    <x v="2"/>
    <n v="1.2073170731707299"/>
    <n v="956.45490806008399"/>
  </r>
  <r>
    <s v="5203f379-4517-e505-4992-ceabf16cd672"/>
    <x v="22"/>
    <x v="9"/>
    <x v="1"/>
    <x v="0"/>
    <x v="4"/>
    <n v="1.70325203252032"/>
    <n v="5391.1227684224696"/>
  </r>
  <r>
    <s v="522733b7-89fb-e0a0-2a80-2d31e1273fa9"/>
    <x v="45"/>
    <x v="18"/>
    <x v="0"/>
    <x v="0"/>
    <x v="7"/>
    <n v="0.46341463414634099"/>
    <n v="491.70238302393699"/>
  </r>
  <r>
    <s v="527e0b4d-c13f-a6e7-65ac-733091e593f2"/>
    <x v="6"/>
    <x v="36"/>
    <x v="1"/>
    <x v="0"/>
    <x v="3"/>
    <n v="1.11788617886178"/>
    <n v="3157.0399222307001"/>
  </r>
  <r>
    <s v="52d3648e-9aef-413d-51e3-6f0face0a006"/>
    <x v="6"/>
    <x v="13"/>
    <x v="1"/>
    <x v="0"/>
    <x v="9"/>
    <n v="1.61788617886178"/>
    <n v="3990.5066792160401"/>
  </r>
  <r>
    <s v="52d9f890-7aa2-4b6e-a054-0c09ded66a2c"/>
    <x v="8"/>
    <x v="21"/>
    <x v="1"/>
    <x v="0"/>
    <x v="1"/>
    <n v="0.66666666666666596"/>
    <n v="1923.4274912000701"/>
  </r>
  <r>
    <s v="52f2bc27-910d-425e-60aa-a98497a33ca4"/>
    <x v="36"/>
    <x v="13"/>
    <x v="1"/>
    <x v="0"/>
    <x v="6"/>
    <n v="1.1341463414634101"/>
    <n v="2797.36523492783"/>
  </r>
  <r>
    <s v="53061f6d-8c08-1949-9ab3-162fd2f926e4"/>
    <x v="6"/>
    <x v="7"/>
    <x v="0"/>
    <x v="0"/>
    <x v="8"/>
    <n v="0.19512195121951201"/>
    <n v="208.51320454811801"/>
  </r>
  <r>
    <s v="53240518-4646-8554-a574-ce3a8e3a5f96"/>
    <x v="13"/>
    <x v="43"/>
    <x v="0"/>
    <x v="0"/>
    <x v="9"/>
    <n v="1.61788617886178"/>
    <n v="1300.1122495975501"/>
  </r>
  <r>
    <s v="534c8e68-4e7e-aee5-885a-935d37fcae91"/>
    <x v="27"/>
    <x v="45"/>
    <x v="1"/>
    <x v="0"/>
    <x v="8"/>
    <n v="0.19512195121951201"/>
    <n v="571.03527323674996"/>
  </r>
  <r>
    <s v="535af7a4-a72c-2a2c-e617-95a80d1b63f6"/>
    <x v="14"/>
    <x v="2"/>
    <x v="0"/>
    <x v="0"/>
    <x v="3"/>
    <n v="1.11788617886178"/>
    <n v="951.01941129211298"/>
  </r>
  <r>
    <s v="5365a086-7d53-19cf-8ab0-5dd8edb13cc6"/>
    <x v="28"/>
    <x v="18"/>
    <x v="0"/>
    <x v="0"/>
    <x v="1"/>
    <n v="0.66666666666666596"/>
    <n v="707.36132294671597"/>
  </r>
  <r>
    <s v="53780c70-92bd-1a89-913a-d5a28576f4ed"/>
    <x v="10"/>
    <x v="27"/>
    <x v="0"/>
    <x v="0"/>
    <x v="5"/>
    <n v="0.53252032520325199"/>
    <n v="573.13705103254802"/>
  </r>
  <r>
    <s v="53850bf3-3bc3-1ed5-7cf7-947de24f0a66"/>
    <x v="6"/>
    <x v="43"/>
    <x v="0"/>
    <x v="0"/>
    <x v="6"/>
    <n v="1.1341463414634101"/>
    <n v="911.38522019527102"/>
  </r>
  <r>
    <s v="53885526-1b42-f4f1-91ee-fe43167c0173"/>
    <x v="17"/>
    <x v="35"/>
    <x v="1"/>
    <x v="0"/>
    <x v="7"/>
    <n v="0.46341463414634099"/>
    <n v="1218.7190352636801"/>
  </r>
  <r>
    <s v="53891d75-39b9-e8c9-46e2-af62592000ef"/>
    <x v="17"/>
    <x v="30"/>
    <x v="1"/>
    <x v="0"/>
    <x v="5"/>
    <n v="0.53252032520325199"/>
    <n v="1240.6730717918199"/>
  </r>
  <r>
    <s v="53a2ad3d-bffd-e074-1095-eb47e8c2c091"/>
    <x v="6"/>
    <x v="20"/>
    <x v="1"/>
    <x v="0"/>
    <x v="3"/>
    <n v="1.11788617886178"/>
    <n v="2698.9390235779802"/>
  </r>
  <r>
    <s v="5403dace-abb4-4357-b768-32dc6df9dac9"/>
    <x v="30"/>
    <x v="4"/>
    <x v="0"/>
    <x v="0"/>
    <x v="9"/>
    <n v="1.61788617886178"/>
    <n v="1766.2817781579699"/>
  </r>
  <r>
    <s v="544a75ea-0223-0601-0559-6f2b5f826ba4"/>
    <x v="31"/>
    <x v="26"/>
    <x v="1"/>
    <x v="0"/>
    <x v="7"/>
    <n v="0.46341463414634099"/>
    <n v="1405.4029736509999"/>
  </r>
  <r>
    <s v="5468385e-8d0f-5b69-7b15-0aa0900ddaed"/>
    <x v="31"/>
    <x v="25"/>
    <x v="1"/>
    <x v="0"/>
    <x v="4"/>
    <n v="1.70325203252032"/>
    <n v="4353.4474986919104"/>
  </r>
  <r>
    <s v="5473f1f1-7966-d1e0-7186-45256e12e752"/>
    <x v="4"/>
    <x v="11"/>
    <x v="1"/>
    <x v="0"/>
    <x v="2"/>
    <n v="1.2073170731707299"/>
    <n v="2773.0185991111498"/>
  </r>
  <r>
    <s v="547d12cd-edd5-4697-670e-734668ea1165"/>
    <x v="6"/>
    <x v="0"/>
    <x v="1"/>
    <x v="0"/>
    <x v="7"/>
    <n v="0.46341463414634099"/>
    <n v="1167.70842155636"/>
  </r>
  <r>
    <s v="5480c070-fc39-c643-a087-9fa92f3978e3"/>
    <x v="1"/>
    <x v="31"/>
    <x v="1"/>
    <x v="1"/>
    <x v="3"/>
    <n v="1.11788617886178"/>
    <n v="3746.0690420659498"/>
  </r>
  <r>
    <s v="5508f4ce-46a3-2251-fe90-085450788db8"/>
    <x v="29"/>
    <x v="42"/>
    <x v="0"/>
    <x v="0"/>
    <x v="0"/>
    <n v="1.1544715447154399"/>
    <n v="1116.56130719"/>
  </r>
  <r>
    <s v="552f85dd-757d-3172-3308-f0080b88b65e"/>
    <x v="1"/>
    <x v="14"/>
    <x v="1"/>
    <x v="0"/>
    <x v="2"/>
    <n v="1.2073170731707299"/>
    <n v="3107.9255114755701"/>
  </r>
  <r>
    <s v="5545d363-ef0b-0eee-d1ea-d7ef745708d8"/>
    <x v="15"/>
    <x v="37"/>
    <x v="0"/>
    <x v="0"/>
    <x v="8"/>
    <n v="0.19512195121951201"/>
    <n v="161.331239411627"/>
  </r>
  <r>
    <s v="5561f97d-33fd-3f65-11be-4f7aa1d4a463"/>
    <x v="6"/>
    <x v="21"/>
    <x v="1"/>
    <x v="0"/>
    <x v="6"/>
    <n v="1.1341463414634101"/>
    <n v="3272.17237832207"/>
  </r>
  <r>
    <s v="55792c25-bbbe-4a7e-e475-fd238fa3e6ad"/>
    <x v="21"/>
    <x v="8"/>
    <x v="0"/>
    <x v="0"/>
    <x v="8"/>
    <n v="0.19512195121951201"/>
    <n v="175.73442083668601"/>
  </r>
  <r>
    <s v="5598cf88-5640-c070-93d0-ab6d2a9d4025"/>
    <x v="19"/>
    <x v="17"/>
    <x v="0"/>
    <x v="0"/>
    <x v="7"/>
    <n v="0.46341463414634099"/>
    <n v="441.85457681126701"/>
  </r>
  <r>
    <s v="55a6d452-3fc0-48b2-97b4-d1503f80fa4d"/>
    <x v="49"/>
    <x v="47"/>
    <x v="1"/>
    <x v="0"/>
    <x v="8"/>
    <n v="0.19512195121951201"/>
    <n v="461.12325553009299"/>
  </r>
  <r>
    <s v="560b7421-05f7-87bc-16d3-67e8f1a2d752"/>
    <x v="9"/>
    <x v="26"/>
    <x v="1"/>
    <x v="0"/>
    <x v="3"/>
    <n v="1.11788617886178"/>
    <n v="3390.2264715265401"/>
  </r>
  <r>
    <s v="5619c884-dafc-0d0c-1676-b954881bc596"/>
    <x v="4"/>
    <x v="3"/>
    <x v="1"/>
    <x v="0"/>
    <x v="4"/>
    <n v="1.70325203252032"/>
    <n v="5128.7930582016197"/>
  </r>
  <r>
    <s v="561b1011-6e5a-5228-34e5-65a0eecc566b"/>
    <x v="6"/>
    <x v="44"/>
    <x v="0"/>
    <x v="0"/>
    <x v="9"/>
    <n v="1.61788617886178"/>
    <n v="1318.7746111409699"/>
  </r>
  <r>
    <s v="562a0d59-ed02-8eaf-43d3-919098f08a12"/>
    <x v="9"/>
    <x v="40"/>
    <x v="1"/>
    <x v="0"/>
    <x v="6"/>
    <n v="1.1341463414634101"/>
    <n v="3248.9371537286002"/>
  </r>
  <r>
    <s v="5673f24b-71e7-0bd3-50d6-4059787e4de5"/>
    <x v="17"/>
    <x v="1"/>
    <x v="1"/>
    <x v="0"/>
    <x v="8"/>
    <n v="0.19512195121951201"/>
    <n v="495.18292642622498"/>
  </r>
  <r>
    <s v="56da05d7-6084-4c73-1eb3-18d5513eccb3"/>
    <x v="4"/>
    <x v="43"/>
    <x v="1"/>
    <x v="0"/>
    <x v="8"/>
    <n v="0.19512195121951201"/>
    <n v="451.36973352152"/>
  </r>
  <r>
    <s v="56e3dd35-9038-fdc3-d4e9-b5d7eb971509"/>
    <x v="13"/>
    <x v="32"/>
    <x v="1"/>
    <x v="0"/>
    <x v="7"/>
    <n v="0.46341463414634099"/>
    <n v="1159.41669230203"/>
  </r>
  <r>
    <s v="56ecbfc9-75f6-1ae3-0e8e-ec4cefb08650"/>
    <x v="17"/>
    <x v="2"/>
    <x v="1"/>
    <x v="0"/>
    <x v="9"/>
    <n v="1.61788617886178"/>
    <n v="3962.17066625182"/>
  </r>
  <r>
    <s v="570e8312-c891-7b98-907e-cfeb42d50ddd"/>
    <x v="49"/>
    <x v="33"/>
    <x v="0"/>
    <x v="0"/>
    <x v="5"/>
    <n v="0.53252032520325199"/>
    <n v="589.70924927383396"/>
  </r>
  <r>
    <s v="5727f94b-8f70-9ff3-fa0e-af85ce397636"/>
    <x v="6"/>
    <x v="12"/>
    <x v="1"/>
    <x v="0"/>
    <x v="8"/>
    <n v="0.19512195121951201"/>
    <n v="583.37461433907197"/>
  </r>
  <r>
    <s v="573537a8-b335-7903-ed4c-3892edc55223"/>
    <x v="13"/>
    <x v="40"/>
    <x v="0"/>
    <x v="0"/>
    <x v="3"/>
    <n v="1.11788617886178"/>
    <n v="1112.4394519611001"/>
  </r>
  <r>
    <s v="5743076b-df9b-a0c9-8343-140f1b8a0efc"/>
    <x v="6"/>
    <x v="5"/>
    <x v="0"/>
    <x v="0"/>
    <x v="0"/>
    <n v="1.1544715447154399"/>
    <n v="1190.5190443721599"/>
  </r>
  <r>
    <s v="5807df9b-43e2-f1f9-0eec-1f3bc434951d"/>
    <x v="37"/>
    <x v="46"/>
    <x v="0"/>
    <x v="0"/>
    <x v="6"/>
    <n v="1.1341463414634101"/>
    <n v="944.44419120329599"/>
  </r>
  <r>
    <s v="580e0aee-a7f3-3836-97ef-60e9185c298e"/>
    <x v="35"/>
    <x v="26"/>
    <x v="0"/>
    <x v="0"/>
    <x v="8"/>
    <n v="0.19512195121951201"/>
    <n v="205.562473788685"/>
  </r>
  <r>
    <s v="58ab6b98-d959-75e9-ee59-b734348eb05f"/>
    <x v="14"/>
    <x v="4"/>
    <x v="1"/>
    <x v="0"/>
    <x v="3"/>
    <n v="1.11788617886178"/>
    <n v="3513.20125337435"/>
  </r>
  <r>
    <s v="58d91d13-8e2d-2b73-6df9-c97f833de433"/>
    <x v="21"/>
    <x v="44"/>
    <x v="0"/>
    <x v="0"/>
    <x v="3"/>
    <n v="1.11788617886178"/>
    <n v="911.21361322554799"/>
  </r>
  <r>
    <s v="590eb057-554b-e08e-5e14-eae31973241b"/>
    <x v="4"/>
    <x v="27"/>
    <x v="0"/>
    <x v="1"/>
    <x v="6"/>
    <n v="1.1341463414634101"/>
    <n v="1310.86812844531"/>
  </r>
  <r>
    <s v="5916599a-2d45-6a2d-92ad-2cb70d2b9d4a"/>
    <x v="1"/>
    <x v="43"/>
    <x v="1"/>
    <x v="0"/>
    <x v="5"/>
    <n v="0.53252032520325199"/>
    <n v="1231.8632310691401"/>
  </r>
  <r>
    <s v="59272b57-24c4-da1a-e398-9999887d5ebf"/>
    <x v="29"/>
    <x v="5"/>
    <x v="1"/>
    <x v="0"/>
    <x v="3"/>
    <n v="1.11788617886178"/>
    <n v="3318.5175561605802"/>
  </r>
  <r>
    <s v="594952f8-04f5-48c3-c187-6ba2bc776cca"/>
    <x v="2"/>
    <x v="34"/>
    <x v="1"/>
    <x v="0"/>
    <x v="0"/>
    <n v="1.1544715447154399"/>
    <n v="3146.2367645235599"/>
  </r>
  <r>
    <s v="59630d5a-ec9c-d4b4-7e32-767f7de9f224"/>
    <x v="35"/>
    <x v="32"/>
    <x v="0"/>
    <x v="0"/>
    <x v="3"/>
    <n v="1.11788617886178"/>
    <n v="971.56972308694696"/>
  </r>
  <r>
    <s v="598431d0-e22b-3e3a-cd3f-5427f710e6f1"/>
    <x v="38"/>
    <x v="1"/>
    <x v="1"/>
    <x v="0"/>
    <x v="3"/>
    <n v="1.11788617886178"/>
    <n v="2836.9855159835802"/>
  </r>
  <r>
    <s v="59e41939-78cc-abaa-b5dc-31dc2cbe20cb"/>
    <x v="17"/>
    <x v="40"/>
    <x v="1"/>
    <x v="0"/>
    <x v="3"/>
    <n v="1.11788617886178"/>
    <n v="3202.3574095891199"/>
  </r>
  <r>
    <s v="59e9936d-311c-e751-b8ca-e7b6e82ddcf3"/>
    <x v="1"/>
    <x v="46"/>
    <x v="0"/>
    <x v="0"/>
    <x v="4"/>
    <n v="1.70325203252032"/>
    <n v="1418.3588391189201"/>
  </r>
  <r>
    <s v="59eae455-b964-8f08-e0c9-5a596fc356b9"/>
    <x v="4"/>
    <x v="29"/>
    <x v="0"/>
    <x v="0"/>
    <x v="4"/>
    <n v="1.70325203252032"/>
    <n v="1578.37093419026"/>
  </r>
  <r>
    <s v="5a6b35e8-cadb-eb16-7d1b-8d0e788efe48"/>
    <x v="26"/>
    <x v="21"/>
    <x v="1"/>
    <x v="0"/>
    <x v="5"/>
    <n v="0.53252032520325199"/>
    <n v="1536.3963496781"/>
  </r>
  <r>
    <s v="5a70801b-5739-41d8-1841-75afed5dcba2"/>
    <x v="13"/>
    <x v="14"/>
    <x v="1"/>
    <x v="0"/>
    <x v="8"/>
    <n v="0.19512195121951201"/>
    <n v="502.290991753627"/>
  </r>
  <r>
    <s v="5a9169e8-c028-a990-d34b-6ad5e3cec5cb"/>
    <x v="6"/>
    <x v="26"/>
    <x v="1"/>
    <x v="0"/>
    <x v="3"/>
    <n v="1.11788617886178"/>
    <n v="3390.2264715265401"/>
  </r>
  <r>
    <s v="5a9ae3ee-b3c1-5b6a-d3e3-635c80337ac1"/>
    <x v="15"/>
    <x v="21"/>
    <x v="0"/>
    <x v="0"/>
    <x v="9"/>
    <n v="1.61788617886178"/>
    <n v="1621.51744128269"/>
  </r>
  <r>
    <s v="5aa19cc2-d31b-0f5c-1f2d-c8d5be5c5e86"/>
    <x v="10"/>
    <x v="10"/>
    <x v="0"/>
    <x v="0"/>
    <x v="8"/>
    <n v="0.19512195121951201"/>
    <n v="164.81740092714401"/>
  </r>
  <r>
    <s v="5aa3f9ec-6265-1c5a-9777-5ecfd92b7fa0"/>
    <x v="31"/>
    <x v="12"/>
    <x v="0"/>
    <x v="0"/>
    <x v="5"/>
    <n v="0.53252032520325199"/>
    <n v="553.07517619633404"/>
  </r>
  <r>
    <s v="5ac00586-bb10-24a4-493f-4ffd9336017f"/>
    <x v="17"/>
    <x v="27"/>
    <x v="1"/>
    <x v="1"/>
    <x v="1"/>
    <n v="0.66666666666666596"/>
    <n v="2218.1559064333801"/>
  </r>
  <r>
    <s v="5ae9bd30-6857-1bb3-fc16-71472a805ab2"/>
    <x v="28"/>
    <x v="3"/>
    <x v="0"/>
    <x v="0"/>
    <x v="8"/>
    <n v="0.19512195121951201"/>
    <n v="204.10280428040599"/>
  </r>
  <r>
    <s v="5b0db282-d9fd-c536-f50a-b563705574cc"/>
    <x v="2"/>
    <x v="4"/>
    <x v="0"/>
    <x v="0"/>
    <x v="8"/>
    <n v="0.19512195121951201"/>
    <n v="213.01890791854899"/>
  </r>
  <r>
    <s v="5b2b4336-29ef-e6ab-c042-23da69efbd66"/>
    <x v="27"/>
    <x v="5"/>
    <x v="0"/>
    <x v="0"/>
    <x v="2"/>
    <n v="1.2073170731707299"/>
    <n v="1245.0146344314501"/>
  </r>
  <r>
    <s v="5b3813d7-50e2-ee90-0f78-5b6607bd7138"/>
    <x v="27"/>
    <x v="7"/>
    <x v="1"/>
    <x v="0"/>
    <x v="7"/>
    <n v="0.46341463414634099"/>
    <n v="1425.5767228150301"/>
  </r>
  <r>
    <s v="5ba3da50-dec1-5ebc-572b-6e49c203de84"/>
    <x v="13"/>
    <x v="41"/>
    <x v="1"/>
    <x v="0"/>
    <x v="2"/>
    <n v="1.2073170731707299"/>
    <n v="3385.3920155488299"/>
  </r>
  <r>
    <s v="5bc612fa-ff24-63e3-3574-03e244b434d7"/>
    <x v="29"/>
    <x v="44"/>
    <x v="0"/>
    <x v="0"/>
    <x v="0"/>
    <n v="1.1544715447154399"/>
    <n v="941.03514965838394"/>
  </r>
  <r>
    <s v="5bc805a9-c9ee-d457-6d1f-5b34864166cd"/>
    <x v="8"/>
    <x v="18"/>
    <x v="0"/>
    <x v="0"/>
    <x v="4"/>
    <n v="1.70325203252032"/>
    <n v="1807.22191655289"/>
  </r>
  <r>
    <s v="5c031bb1-b879-1e2a-5de6-26cc2f12ddd9"/>
    <x v="17"/>
    <x v="37"/>
    <x v="0"/>
    <x v="0"/>
    <x v="4"/>
    <n v="1.70325203252032"/>
    <n v="1408.2872773639899"/>
  </r>
  <r>
    <s v="5c0b5423-c488-2256-c694-8f950d784b84"/>
    <x v="15"/>
    <x v="35"/>
    <x v="0"/>
    <x v="0"/>
    <x v="7"/>
    <n v="0.46341463414634099"/>
    <n v="423.360344358703"/>
  </r>
  <r>
    <s v="5c3cf8ac-b2ff-3f2d-b7d6-b78fb3eae033"/>
    <x v="17"/>
    <x v="43"/>
    <x v="0"/>
    <x v="0"/>
    <x v="6"/>
    <n v="1.1341463414634101"/>
    <n v="911.38522019527102"/>
  </r>
  <r>
    <s v="5c432e70-b348-60e7-4a7b-75d091e2d1e0"/>
    <x v="17"/>
    <x v="41"/>
    <x v="1"/>
    <x v="0"/>
    <x v="6"/>
    <n v="1.1341463414634101"/>
    <n v="3180.2167418792001"/>
  </r>
  <r>
    <s v="5c456e79-9db1-7423-9c9b-dc3beb5586bb"/>
    <x v="28"/>
    <x v="32"/>
    <x v="1"/>
    <x v="0"/>
    <x v="5"/>
    <n v="0.53252032520325199"/>
    <n v="1332.3121639610999"/>
  </r>
  <r>
    <s v="5c657ef6-07f3-f32b-6888-2b085a01516e"/>
    <x v="1"/>
    <x v="15"/>
    <x v="1"/>
    <x v="0"/>
    <x v="7"/>
    <n v="0.46341463414634099"/>
    <n v="1346.5785308404199"/>
  </r>
  <r>
    <s v="5c9f506e-3046-c961-f5b5-18773237694f"/>
    <x v="6"/>
    <x v="28"/>
    <x v="0"/>
    <x v="0"/>
    <x v="8"/>
    <n v="0.19512195121951201"/>
    <n v="176.99120991684899"/>
  </r>
  <r>
    <s v="5cb60206-2c34-1e8b-a447-76ce24f211f5"/>
    <x v="1"/>
    <x v="37"/>
    <x v="0"/>
    <x v="0"/>
    <x v="6"/>
    <n v="1.1341463414634101"/>
    <n v="937.737829080084"/>
  </r>
  <r>
    <s v="5cdb438f-c163-43a6-5ce4-80c72a48f77e"/>
    <x v="25"/>
    <x v="5"/>
    <x v="0"/>
    <x v="0"/>
    <x v="3"/>
    <n v="1.11788617886178"/>
    <n v="1152.7913281772701"/>
  </r>
  <r>
    <s v="5cf102a6-e237-f076-c834-7d314fb6efaf"/>
    <x v="25"/>
    <x v="8"/>
    <x v="0"/>
    <x v="0"/>
    <x v="9"/>
    <n v="1.61788617886178"/>
    <n v="1457.13123943752"/>
  </r>
  <r>
    <s v="5d540428-2d85-ee31-dacf-a969443e6be8"/>
    <x v="4"/>
    <x v="46"/>
    <x v="1"/>
    <x v="0"/>
    <x v="8"/>
    <n v="0.19512195121951201"/>
    <n v="467.74241392464398"/>
  </r>
  <r>
    <s v="5d5a1bf9-46f5-2180-232e-937a4e892d1a"/>
    <x v="27"/>
    <x v="14"/>
    <x v="1"/>
    <x v="0"/>
    <x v="0"/>
    <n v="1.1544715447154399"/>
    <n v="2971.8883678756301"/>
  </r>
  <r>
    <s v="5d90b2ad-bca1-b7dd-432a-8c4c38f18b8e"/>
    <x v="35"/>
    <x v="0"/>
    <x v="0"/>
    <x v="0"/>
    <x v="3"/>
    <n v="1.11788617886178"/>
    <n v="978.51803869170703"/>
  </r>
  <r>
    <s v="5d944a45-a2c3-c415-c542-5380a3076529"/>
    <x v="1"/>
    <x v="28"/>
    <x v="1"/>
    <x v="0"/>
    <x v="3"/>
    <n v="1.11788617886178"/>
    <n v="2919.0166572155799"/>
  </r>
  <r>
    <s v="5da8d8d3-c7fc-bfc6-e168-4ca1b08ca446"/>
    <x v="23"/>
    <x v="23"/>
    <x v="0"/>
    <x v="0"/>
    <x v="7"/>
    <n v="0.46341463414634099"/>
    <n v="426.38806456986498"/>
  </r>
  <r>
    <s v="5db4740a-8649-47a8-7b0b-27a6f470901e"/>
    <x v="16"/>
    <x v="29"/>
    <x v="1"/>
    <x v="0"/>
    <x v="5"/>
    <n v="0.53252032520325199"/>
    <n v="1420.5606033726499"/>
  </r>
  <r>
    <s v="5dd181b7-18f9-64cf-ce90-0f8f5ef8f194"/>
    <x v="14"/>
    <x v="36"/>
    <x v="1"/>
    <x v="0"/>
    <x v="0"/>
    <n v="1.1544715447154399"/>
    <n v="3260.3612287764299"/>
  </r>
  <r>
    <s v="5e120092-da81-2733-eea9-be81a2e76c91"/>
    <x v="17"/>
    <x v="12"/>
    <x v="1"/>
    <x v="0"/>
    <x v="6"/>
    <n v="1.1341463414634101"/>
    <n v="3390.8649458458499"/>
  </r>
  <r>
    <s v="5e33fcc7-b724-1986-0f09-28872e207cb2"/>
    <x v="6"/>
    <x v="32"/>
    <x v="1"/>
    <x v="0"/>
    <x v="7"/>
    <n v="0.46341463414634099"/>
    <n v="1159.41669230203"/>
  </r>
  <r>
    <s v="5e3d747a-10de-4d73-1477-4bae5d9b2b2d"/>
    <x v="17"/>
    <x v="20"/>
    <x v="1"/>
    <x v="0"/>
    <x v="6"/>
    <n v="1.1341463414634101"/>
    <n v="2738.19631846638"/>
  </r>
  <r>
    <s v="5e45df00-12ba-26bd-f3bf-cc60b6d9d0a6"/>
    <x v="6"/>
    <x v="39"/>
    <x v="0"/>
    <x v="0"/>
    <x v="7"/>
    <n v="0.46341463414634099"/>
    <n v="457.882110856022"/>
  </r>
  <r>
    <s v="5e5f1aaf-59d1-2d08-0f08-9b5e65e43810"/>
    <x v="28"/>
    <x v="39"/>
    <x v="1"/>
    <x v="0"/>
    <x v="7"/>
    <n v="0.46341463414634099"/>
    <n v="1318.09616049949"/>
  </r>
  <r>
    <s v="5ec73596-52b1-51a0-0a01-c29032ba9a01"/>
    <x v="17"/>
    <x v="27"/>
    <x v="1"/>
    <x v="0"/>
    <x v="7"/>
    <n v="0.46341463414634099"/>
    <n v="1435.7719324366799"/>
  </r>
  <r>
    <s v="5edb71a1-343e-4284-0563-3ee7454ead29"/>
    <x v="29"/>
    <x v="15"/>
    <x v="0"/>
    <x v="0"/>
    <x v="5"/>
    <n v="0.53252032520325199"/>
    <n v="537.53248041269501"/>
  </r>
  <r>
    <s v="5edbc1c8-233a-cd26-b67e-4d7260810376"/>
    <x v="2"/>
    <x v="7"/>
    <x v="0"/>
    <x v="0"/>
    <x v="7"/>
    <n v="0.46341463414634099"/>
    <n v="495.218860801782"/>
  </r>
  <r>
    <s v="5ef4b555-9b05-3744-a651-f7d1a8dd9e8d"/>
    <x v="25"/>
    <x v="39"/>
    <x v="1"/>
    <x v="0"/>
    <x v="1"/>
    <n v="0.66666666666666596"/>
    <n v="1896.20851159576"/>
  </r>
  <r>
    <s v="5ef6fc9b-d41b-04bd-e93b-a82cbe90291e"/>
    <x v="1"/>
    <x v="14"/>
    <x v="0"/>
    <x v="0"/>
    <x v="9"/>
    <n v="1.61788617886178"/>
    <n v="1446.78436045437"/>
  </r>
  <r>
    <s v="5f242b8a-4fd3-ceb1-7587-8aa4ca1eb84c"/>
    <x v="1"/>
    <x v="43"/>
    <x v="1"/>
    <x v="0"/>
    <x v="6"/>
    <n v="1.1341463414634101"/>
    <n v="2623.58657609383"/>
  </r>
  <r>
    <s v="5f390c41-57ce-c34e-4f44-cc2961454f40"/>
    <x v="3"/>
    <x v="9"/>
    <x v="0"/>
    <x v="0"/>
    <x v="8"/>
    <n v="0.19512195121951201"/>
    <n v="214.542342178415"/>
  </r>
  <r>
    <s v="5f5bb1ba-6d10-caf6-71e1-4e94771d8b4d"/>
    <x v="6"/>
    <x v="32"/>
    <x v="0"/>
    <x v="0"/>
    <x v="2"/>
    <n v="1.2073170731707299"/>
    <n v="1049.2953009339001"/>
  </r>
  <r>
    <s v="5f75743f-3ba2-35ef-cb95-0324eb202e42"/>
    <x v="1"/>
    <x v="13"/>
    <x v="0"/>
    <x v="0"/>
    <x v="0"/>
    <n v="1.1544715447154399"/>
    <n v="989.167619679327"/>
  </r>
  <r>
    <s v="5fb69925-a84d-cd95-93de-02b6bc6910b5"/>
    <x v="2"/>
    <x v="14"/>
    <x v="1"/>
    <x v="0"/>
    <x v="4"/>
    <n v="1.70325203252032"/>
    <n v="4384.5817821827104"/>
  </r>
  <r>
    <s v="5fb6a834-ff3c-1252-ba01-d2840a37ff1c"/>
    <x v="23"/>
    <x v="0"/>
    <x v="1"/>
    <x v="0"/>
    <x v="5"/>
    <n v="0.53252032520325199"/>
    <n v="1341.8403791568701"/>
  </r>
  <r>
    <s v="5fd8874a-a540-6472-cbe8-91256b999e68"/>
    <x v="3"/>
    <x v="1"/>
    <x v="1"/>
    <x v="0"/>
    <x v="8"/>
    <n v="0.19512195121951201"/>
    <n v="495.18292642622498"/>
  </r>
  <r>
    <s v="6017039f-9ed1-c101-0d6e-ff5cd957c53f"/>
    <x v="7"/>
    <x v="6"/>
    <x v="1"/>
    <x v="0"/>
    <x v="3"/>
    <n v="1.11788617886178"/>
    <n v="3090.2632893149998"/>
  </r>
  <r>
    <s v="60330c7f-a8fa-8d30-31fa-3744f6422fc0"/>
    <x v="12"/>
    <x v="47"/>
    <x v="1"/>
    <x v="0"/>
    <x v="1"/>
    <n v="0.66666666666666596"/>
    <n v="1575.50445639448"/>
  </r>
  <r>
    <s v="60373fb7-0fcb-b706-fa23-81e0ba96bbf8"/>
    <x v="44"/>
    <x v="45"/>
    <x v="1"/>
    <x v="0"/>
    <x v="4"/>
    <n v="1.70325203252032"/>
    <n v="4984.6620726291303"/>
  </r>
  <r>
    <s v="607653db-feb0-62e8-1039-24c16be4fc5c"/>
    <x v="6"/>
    <x v="41"/>
    <x v="1"/>
    <x v="0"/>
    <x v="2"/>
    <n v="1.2073170731707299"/>
    <n v="3385.3920155488299"/>
  </r>
  <r>
    <s v="615bef2f-fbdc-fc0f-85cc-86c2281af2f7"/>
    <x v="17"/>
    <x v="44"/>
    <x v="1"/>
    <x v="0"/>
    <x v="8"/>
    <n v="0.19512195121951201"/>
    <n v="457.84888573267898"/>
  </r>
  <r>
    <s v="61736352-e631-3b58-61a0-e0caa8edabad"/>
    <x v="3"/>
    <x v="2"/>
    <x v="1"/>
    <x v="0"/>
    <x v="4"/>
    <n v="1.70325203252032"/>
    <n v="4171.2299225113402"/>
  </r>
  <r>
    <s v="617c92e4-e376-de03-c0ac-21dc4b160a50"/>
    <x v="14"/>
    <x v="1"/>
    <x v="1"/>
    <x v="0"/>
    <x v="8"/>
    <n v="0.19512195121951201"/>
    <n v="495.18292642622498"/>
  </r>
  <r>
    <s v="61878f92-eb47-b0c1-7514-6b7f019c9bba"/>
    <x v="33"/>
    <x v="24"/>
    <x v="0"/>
    <x v="0"/>
    <x v="1"/>
    <n v="0.66666666666666596"/>
    <n v="528.14345091533198"/>
  </r>
  <r>
    <s v="619b699e-8a53-e346-7359-fa45ec84800d"/>
    <x v="1"/>
    <x v="24"/>
    <x v="1"/>
    <x v="0"/>
    <x v="2"/>
    <n v="1.2073170731707299"/>
    <n v="2753.3277935842002"/>
  </r>
  <r>
    <s v="61c3cb10-49d1-206b-2d54-51ed19504eea"/>
    <x v="4"/>
    <x v="35"/>
    <x v="0"/>
    <x v="0"/>
    <x v="3"/>
    <n v="1.11788617886178"/>
    <n v="1021.26398858459"/>
  </r>
  <r>
    <s v="61d56bdd-c4ed-5ebd-9650-11f50ddbd7e0"/>
    <x v="4"/>
    <x v="19"/>
    <x v="0"/>
    <x v="0"/>
    <x v="7"/>
    <n v="0.46341463414634099"/>
    <n v="474.49101682954603"/>
  </r>
  <r>
    <s v="62265536-1b5c-0b56-a657-cf9479e4ee68"/>
    <x v="17"/>
    <x v="6"/>
    <x v="0"/>
    <x v="0"/>
    <x v="6"/>
    <n v="1.1341463414634101"/>
    <n v="1089.1145837213801"/>
  </r>
  <r>
    <s v="623e9be7-b91d-1e8b-82ad-ae1b6d22cbbe"/>
    <x v="9"/>
    <x v="16"/>
    <x v="0"/>
    <x v="0"/>
    <x v="3"/>
    <n v="1.11788617886178"/>
    <n v="964.67074647016295"/>
  </r>
  <r>
    <s v="624126da-00e1-5774-67c5-bf6f180c5fde"/>
    <x v="1"/>
    <x v="18"/>
    <x v="0"/>
    <x v="0"/>
    <x v="7"/>
    <n v="0.46341463414634099"/>
    <n v="491.70238302393699"/>
  </r>
  <r>
    <s v="62439d08-042b-7d8c-e1dd-ac80a217e9f6"/>
    <x v="6"/>
    <x v="17"/>
    <x v="0"/>
    <x v="0"/>
    <x v="5"/>
    <n v="0.53252032520325199"/>
    <n v="507.74517159891201"/>
  </r>
  <r>
    <s v="6247f059-8985-5301-ebf5-36fd36217826"/>
    <x v="1"/>
    <x v="45"/>
    <x v="1"/>
    <x v="0"/>
    <x v="9"/>
    <n v="1.61788617886178"/>
    <n v="4734.8341405880501"/>
  </r>
  <r>
    <s v="6279d0ef-0dac-fc81-30bb-9bad4d1f92a7"/>
    <x v="17"/>
    <x v="29"/>
    <x v="0"/>
    <x v="0"/>
    <x v="0"/>
    <n v="1.1544715447154399"/>
    <n v="1069.82659978528"/>
  </r>
  <r>
    <s v="62b2a7f8-60f9-87f7-c97e-5837ecb154f7"/>
    <x v="2"/>
    <x v="5"/>
    <x v="0"/>
    <x v="0"/>
    <x v="0"/>
    <n v="1.1544715447154399"/>
    <n v="1190.5190443721599"/>
  </r>
  <r>
    <s v="62c73328-befc-1fd0-5d68-a694dd10b164"/>
    <x v="13"/>
    <x v="37"/>
    <x v="0"/>
    <x v="0"/>
    <x v="6"/>
    <n v="1.1341463414634101"/>
    <n v="937.737829080084"/>
  </r>
  <r>
    <s v="62d96323-586e-a9f9-a3ac-c622fc92f1dc"/>
    <x v="17"/>
    <x v="32"/>
    <x v="1"/>
    <x v="0"/>
    <x v="2"/>
    <n v="1.2073170731707299"/>
    <n v="3020.5855931026499"/>
  </r>
  <r>
    <s v="6308aea7-3c5e-e11a-d832-4a5c4e453e0e"/>
    <x v="11"/>
    <x v="14"/>
    <x v="1"/>
    <x v="0"/>
    <x v="1"/>
    <n v="0.66666666666666596"/>
    <n v="1716.1608884915599"/>
  </r>
  <r>
    <s v="631da968-7fa9-6ff2-8ec1-4cc13708cacb"/>
    <x v="13"/>
    <x v="29"/>
    <x v="1"/>
    <x v="0"/>
    <x v="2"/>
    <n v="1.2073170731707299"/>
    <n v="3220.66029924945"/>
  </r>
  <r>
    <s v="632ac85e-0b14-f784-1e3f-9ca18967efe3"/>
    <x v="28"/>
    <x v="20"/>
    <x v="1"/>
    <x v="0"/>
    <x v="1"/>
    <n v="0.66666666666666596"/>
    <n v="1609.5490904246799"/>
  </r>
  <r>
    <s v="6338762f-1578-0196-ff0a-923733af24c7"/>
    <x v="25"/>
    <x v="44"/>
    <x v="1"/>
    <x v="0"/>
    <x v="2"/>
    <n v="1.2073170731707299"/>
    <n v="2832.9399804709501"/>
  </r>
  <r>
    <s v="6374d39c-5a84-6605-b56d-81b54b19a0f7"/>
    <x v="14"/>
    <x v="20"/>
    <x v="1"/>
    <x v="0"/>
    <x v="9"/>
    <n v="1.61788617886178"/>
    <n v="3906.1008413964901"/>
  </r>
  <r>
    <s v="63965dd2-8190-6370-1df7-7015dba57337"/>
    <x v="13"/>
    <x v="19"/>
    <x v="0"/>
    <x v="0"/>
    <x v="5"/>
    <n v="0.53252032520325199"/>
    <n v="545.24844916377697"/>
  </r>
  <r>
    <s v="63cf5021-e22b-b147-0e81-7cbbbb65640c"/>
    <x v="1"/>
    <x v="0"/>
    <x v="1"/>
    <x v="0"/>
    <x v="5"/>
    <n v="0.53252032520325199"/>
    <n v="1341.8403791568701"/>
  </r>
  <r>
    <s v="63e190dd-dcea-5316-0ee3-def092ebfb87"/>
    <x v="21"/>
    <x v="7"/>
    <x v="1"/>
    <x v="0"/>
    <x v="7"/>
    <n v="0.46341463414634099"/>
    <n v="1425.5767228150301"/>
  </r>
  <r>
    <s v="63e1ec32-f5e2-9eb8-222b-1e4ce2bf906d"/>
    <x v="4"/>
    <x v="19"/>
    <x v="0"/>
    <x v="0"/>
    <x v="4"/>
    <n v="1.70325203252032"/>
    <n v="1743.96259694368"/>
  </r>
  <r>
    <s v="63e22956-52e9-9491-4677-52d01f7a0b7a"/>
    <x v="6"/>
    <x v="45"/>
    <x v="0"/>
    <x v="0"/>
    <x v="5"/>
    <n v="0.53252032520325199"/>
    <n v="541.37671848739603"/>
  </r>
  <r>
    <s v="63e9db7a-5109-8e9d-152b-c7c68887ee8e"/>
    <x v="14"/>
    <x v="41"/>
    <x v="1"/>
    <x v="0"/>
    <x v="5"/>
    <n v="0.53252032520325199"/>
    <n v="1493.2200472622701"/>
  </r>
  <r>
    <s v="640d58c2-1e0b-d232-be6a-d18016b38d79"/>
    <x v="14"/>
    <x v="40"/>
    <x v="1"/>
    <x v="0"/>
    <x v="3"/>
    <n v="1.11788617886178"/>
    <n v="3202.3574095891199"/>
  </r>
  <r>
    <s v="64102696-ddc1-339a-9a5e-c12ee3e13989"/>
    <x v="5"/>
    <x v="35"/>
    <x v="1"/>
    <x v="0"/>
    <x v="3"/>
    <n v="1.11788617886178"/>
    <n v="2939.8924096272899"/>
  </r>
  <r>
    <s v="641db7d7-f8a0-4b33-50ac-080dbd21a7fc"/>
    <x v="35"/>
    <x v="8"/>
    <x v="0"/>
    <x v="0"/>
    <x v="7"/>
    <n v="0.46341463414634099"/>
    <n v="417.36924948712903"/>
  </r>
  <r>
    <s v="641e7e6f-e1d6-0fca-b8b1-c540c3492689"/>
    <x v="36"/>
    <x v="45"/>
    <x v="0"/>
    <x v="0"/>
    <x v="4"/>
    <n v="1.70325203252032"/>
    <n v="1731.5789698184601"/>
  </r>
  <r>
    <s v="6445b197-6840-13a3-5617-908cb973ddc5"/>
    <x v="27"/>
    <x v="0"/>
    <x v="1"/>
    <x v="0"/>
    <x v="6"/>
    <n v="1.1341463414634101"/>
    <n v="2857.81271591425"/>
  </r>
  <r>
    <s v="645cf7cf-0f31-ccf2-a28a-6d9fd6bd82a1"/>
    <x v="28"/>
    <x v="11"/>
    <x v="0"/>
    <x v="0"/>
    <x v="3"/>
    <n v="1.11788617886178"/>
    <n v="891.93993330478497"/>
  </r>
  <r>
    <s v="64624bc7-5471-bad6-349a-b451e9551e41"/>
    <x v="17"/>
    <x v="13"/>
    <x v="0"/>
    <x v="0"/>
    <x v="6"/>
    <n v="1.1341463414634101"/>
    <n v="971.75269679764801"/>
  </r>
  <r>
    <s v="6467b211-c913-9b7f-5fa2-4a725a5f0358"/>
    <x v="21"/>
    <x v="19"/>
    <x v="1"/>
    <x v="0"/>
    <x v="8"/>
    <n v="0.19512195121951201"/>
    <n v="575.11911118025"/>
  </r>
  <r>
    <s v="6491f453-c3a0-6f98-d55d-bd26b6511b38"/>
    <x v="2"/>
    <x v="36"/>
    <x v="1"/>
    <x v="0"/>
    <x v="3"/>
    <n v="1.11788617886178"/>
    <n v="3157.0399222307001"/>
  </r>
  <r>
    <s v="64c5a155-cc39-1426-9155-2248a8f2621b"/>
    <x v="13"/>
    <x v="26"/>
    <x v="0"/>
    <x v="0"/>
    <x v="9"/>
    <n v="1.61788617886178"/>
    <n v="1704.45551183118"/>
  </r>
  <r>
    <s v="64e84b91-d85f-5e1f-375a-3f35e0b82115"/>
    <x v="45"/>
    <x v="46"/>
    <x v="0"/>
    <x v="0"/>
    <x v="4"/>
    <n v="1.70325203252032"/>
    <n v="1418.3588391189201"/>
  </r>
  <r>
    <s v="65b18d9b-6ebc-fbe5-c9db-08233e4c96f6"/>
    <x v="15"/>
    <x v="10"/>
    <x v="1"/>
    <x v="0"/>
    <x v="7"/>
    <n v="0.46341463414634099"/>
    <n v="1126.8343929863099"/>
  </r>
  <r>
    <s v="65fc6e68-2654-2669-bd91-adac8acd2222"/>
    <x v="17"/>
    <x v="23"/>
    <x v="1"/>
    <x v="0"/>
    <x v="8"/>
    <n v="0.19512195121951201"/>
    <n v="516.814683556761"/>
  </r>
  <r>
    <s v="667dcaef-43f7-f180-d836-c0ca4ff2b35a"/>
    <x v="35"/>
    <x v="13"/>
    <x v="1"/>
    <x v="0"/>
    <x v="4"/>
    <n v="1.70325203252032"/>
    <n v="4201.0610517374898"/>
  </r>
  <r>
    <s v="66aa883d-8ab9-8da7-5fa0-65dd3778da00"/>
    <x v="14"/>
    <x v="25"/>
    <x v="1"/>
    <x v="0"/>
    <x v="9"/>
    <n v="1.61788617886178"/>
    <n v="4135.2556192825296"/>
  </r>
  <r>
    <s v="66b12b4e-01ac-d349-6318-0c3c8b54f03a"/>
    <x v="17"/>
    <x v="42"/>
    <x v="0"/>
    <x v="0"/>
    <x v="4"/>
    <n v="1.70325203252032"/>
    <n v="1647.3210834951101"/>
  </r>
  <r>
    <s v="674240d9-1e5d-58fa-50a6-46e687378fca"/>
    <x v="28"/>
    <x v="31"/>
    <x v="1"/>
    <x v="1"/>
    <x v="9"/>
    <n v="1.61788617886178"/>
    <n v="5421.5835590627203"/>
  </r>
  <r>
    <s v="675650e4-1ae2-323f-82c1-bf0644fa7f2c"/>
    <x v="9"/>
    <x v="28"/>
    <x v="0"/>
    <x v="0"/>
    <x v="9"/>
    <n v="1.61788617886178"/>
    <n v="1467.55211556054"/>
  </r>
  <r>
    <s v="67698530-43fb-f995-9696-629902e2a389"/>
    <x v="1"/>
    <x v="26"/>
    <x v="1"/>
    <x v="0"/>
    <x v="6"/>
    <n v="1.1341463414634101"/>
    <n v="3439.53885656693"/>
  </r>
  <r>
    <s v="67ae62a5-340f-83b2-91ec-e4856f6052f6"/>
    <x v="38"/>
    <x v="28"/>
    <x v="0"/>
    <x v="0"/>
    <x v="2"/>
    <n v="1.2073170731707299"/>
    <n v="1095.1331113604999"/>
  </r>
  <r>
    <s v="67b35185-fa4a-db33-4b7a-412a812f9c20"/>
    <x v="28"/>
    <x v="7"/>
    <x v="1"/>
    <x v="0"/>
    <x v="8"/>
    <n v="0.19512195121951201"/>
    <n v="600.24283065896304"/>
  </r>
  <r>
    <s v="67b902e8-91c1-de99-65ce-f461f39a4530"/>
    <x v="6"/>
    <x v="45"/>
    <x v="1"/>
    <x v="0"/>
    <x v="4"/>
    <n v="1.70325203252032"/>
    <n v="4984.6620726291303"/>
  </r>
  <r>
    <s v="68276701-870a-b318-f341-939ca3102e00"/>
    <x v="31"/>
    <x v="1"/>
    <x v="1"/>
    <x v="0"/>
    <x v="1"/>
    <n v="0.66666666666666596"/>
    <n v="1691.87499862293"/>
  </r>
  <r>
    <s v="684a76bd-7af6-99a6-fc5c-977cf7f0d732"/>
    <x v="35"/>
    <x v="12"/>
    <x v="0"/>
    <x v="0"/>
    <x v="8"/>
    <n v="0.19512195121951201"/>
    <n v="202.65349967499199"/>
  </r>
  <r>
    <s v="68ab60fe-a95d-a928-8967-b2b7b95df253"/>
    <x v="1"/>
    <x v="34"/>
    <x v="1"/>
    <x v="0"/>
    <x v="2"/>
    <n v="1.2073170731707299"/>
    <n v="3290.2546445897801"/>
  </r>
  <r>
    <s v="68b788af-769e-847a-6141-3c5189d53482"/>
    <x v="34"/>
    <x v="40"/>
    <x v="0"/>
    <x v="0"/>
    <x v="8"/>
    <n v="0.19512195121951201"/>
    <n v="194.17124979684701"/>
  </r>
  <r>
    <s v="68b9cedf-a548-e08d-7276-90b8eef8fade"/>
    <x v="15"/>
    <x v="47"/>
    <x v="0"/>
    <x v="0"/>
    <x v="5"/>
    <n v="0.53252032520325199"/>
    <n v="437.173335163844"/>
  </r>
  <r>
    <s v="68c94a26-76eb-660a-a863-67c6b1a76a2e"/>
    <x v="27"/>
    <x v="18"/>
    <x v="0"/>
    <x v="0"/>
    <x v="1"/>
    <n v="0.66666666666666596"/>
    <n v="707.36132294671597"/>
  </r>
  <r>
    <s v="68daba51-c453-be28-3a28-295710da8752"/>
    <x v="2"/>
    <x v="29"/>
    <x v="1"/>
    <x v="0"/>
    <x v="2"/>
    <n v="1.2073170731707299"/>
    <n v="3220.66029924945"/>
  </r>
  <r>
    <s v="68df498f-0285-dd81-f34b-2dda8769f657"/>
    <x v="17"/>
    <x v="40"/>
    <x v="0"/>
    <x v="0"/>
    <x v="6"/>
    <n v="1.1341463414634101"/>
    <n v="1128.6203894441701"/>
  </r>
  <r>
    <s v="68e4f9a6-1726-b211-a7de-af97af6b2961"/>
    <x v="9"/>
    <x v="4"/>
    <x v="0"/>
    <x v="0"/>
    <x v="4"/>
    <n v="1.70325203252032"/>
    <n v="1859.4775503723299"/>
  </r>
  <r>
    <s v="68e9995e-8db2-8793-3049-e3a2c9e42e21"/>
    <x v="9"/>
    <x v="36"/>
    <x v="1"/>
    <x v="0"/>
    <x v="0"/>
    <n v="1.1544715447154399"/>
    <n v="3260.3612287764299"/>
  </r>
  <r>
    <s v="69030be5-78b7-fe33-1171-9b99fa8349ae"/>
    <x v="21"/>
    <x v="29"/>
    <x v="1"/>
    <x v="0"/>
    <x v="2"/>
    <n v="1.2073170731707299"/>
    <n v="3220.66029924945"/>
  </r>
  <r>
    <s v="6907464a-274d-0904-d6da-895971b93b5e"/>
    <x v="7"/>
    <x v="26"/>
    <x v="0"/>
    <x v="0"/>
    <x v="7"/>
    <n v="0.46341463414634099"/>
    <n v="488.21087524812702"/>
  </r>
  <r>
    <s v="691be45e-2ace-eeb1-3110-d938fc36fbb9"/>
    <x v="17"/>
    <x v="38"/>
    <x v="1"/>
    <x v="0"/>
    <x v="4"/>
    <n v="1.70325203252032"/>
    <n v="4608.8462544098002"/>
  </r>
  <r>
    <s v="691d09e1-cabe-4307-f2a5-ca82b6d5f34a"/>
    <x v="35"/>
    <x v="11"/>
    <x v="1"/>
    <x v="0"/>
    <x v="2"/>
    <n v="1.2073170731707299"/>
    <n v="2773.0185991111498"/>
  </r>
  <r>
    <s v="6927b3a1-cdd1-4ccf-1650-7cd5066216c4"/>
    <x v="36"/>
    <x v="33"/>
    <x v="1"/>
    <x v="1"/>
    <x v="5"/>
    <n v="0.53252032520325199"/>
    <n v="1823.0516381324601"/>
  </r>
  <r>
    <s v="693953bc-d773-c27f-fcb9-079edab78297"/>
    <x v="4"/>
    <x v="0"/>
    <x v="0"/>
    <x v="0"/>
    <x v="0"/>
    <n v="1.1544715447154399"/>
    <n v="1010.54226541252"/>
  </r>
  <r>
    <s v="694f1ef0-3713-d089-6bba-db034ac69235"/>
    <x v="22"/>
    <x v="6"/>
    <x v="1"/>
    <x v="0"/>
    <x v="5"/>
    <n v="0.53252032520325199"/>
    <n v="1472.08905781915"/>
  </r>
  <r>
    <s v="6952d034-7cde-9a1f-3beb-cbe57fd4c399"/>
    <x v="27"/>
    <x v="27"/>
    <x v="0"/>
    <x v="0"/>
    <x v="0"/>
    <n v="1.1544715447154399"/>
    <n v="1242.5261259026199"/>
  </r>
  <r>
    <s v="6981b280-65f3-c76d-c1f9-81cd8278dda8"/>
    <x v="13"/>
    <x v="41"/>
    <x v="1"/>
    <x v="0"/>
    <x v="7"/>
    <n v="0.46341463414634099"/>
    <n v="1299.44339990763"/>
  </r>
  <r>
    <s v="6985fb67-4179-fde7-313b-35f0dd1571fd"/>
    <x v="1"/>
    <x v="5"/>
    <x v="1"/>
    <x v="0"/>
    <x v="4"/>
    <n v="1.70325203252032"/>
    <n v="5056.2140219319399"/>
  </r>
  <r>
    <s v="69e92016-4a12-49a4-31b7-c0efef44696d"/>
    <x v="21"/>
    <x v="31"/>
    <x v="0"/>
    <x v="0"/>
    <x v="6"/>
    <n v="1.1341463414634101"/>
    <n v="1229.3803184478199"/>
  </r>
  <r>
    <s v="69ebddb1-27ce-9b04-2588-dcdd06d5a65a"/>
    <x v="2"/>
    <x v="45"/>
    <x v="0"/>
    <x v="0"/>
    <x v="5"/>
    <n v="0.53252032520325199"/>
    <n v="541.37671848739603"/>
  </r>
  <r>
    <s v="69ed57a9-f5d2-264e-a87c-278b2ffc7caa"/>
    <x v="49"/>
    <x v="19"/>
    <x v="0"/>
    <x v="0"/>
    <x v="5"/>
    <n v="0.53252032520325199"/>
    <n v="545.24844916377697"/>
  </r>
  <r>
    <s v="6a4e2dd3-6207-ef3e-2a68-b0d99b70dc9b"/>
    <x v="1"/>
    <x v="7"/>
    <x v="0"/>
    <x v="0"/>
    <x v="9"/>
    <n v="1.61788617886178"/>
    <n v="1728.9219877114799"/>
  </r>
  <r>
    <s v="6a614751-c784-ac82-d95c-33503065d003"/>
    <x v="6"/>
    <x v="31"/>
    <x v="0"/>
    <x v="1"/>
    <x v="0"/>
    <n v="1.1544715447154399"/>
    <n v="1343.9032521715201"/>
  </r>
  <r>
    <s v="6a6cf3b5-2f04-4ae5-9f56-966479be615a"/>
    <x v="24"/>
    <x v="44"/>
    <x v="0"/>
    <x v="0"/>
    <x v="3"/>
    <n v="1.11788617886178"/>
    <n v="911.21361322554799"/>
  </r>
  <r>
    <s v="6a783cf9-3855-884e-787a-59d98daa1c85"/>
    <x v="22"/>
    <x v="34"/>
    <x v="0"/>
    <x v="0"/>
    <x v="4"/>
    <n v="1.70325203252032"/>
    <n v="1612.4775091353899"/>
  </r>
  <r>
    <s v="6a921364-1c35-5966-acd3-ede8b7f6f331"/>
    <x v="2"/>
    <x v="43"/>
    <x v="1"/>
    <x v="0"/>
    <x v="0"/>
    <n v="1.1544715447154399"/>
    <n v="2670.6042566689898"/>
  </r>
  <r>
    <s v="6ade19a2-db07-01d2-2baa-ebcb3847d21d"/>
    <x v="39"/>
    <x v="9"/>
    <x v="0"/>
    <x v="0"/>
    <x v="9"/>
    <n v="1.61788617886178"/>
    <n v="1778.91358722936"/>
  </r>
  <r>
    <s v="6b0d0c15-3fe9-871f-67da-5d08c4d53c07"/>
    <x v="6"/>
    <x v="21"/>
    <x v="1"/>
    <x v="0"/>
    <x v="8"/>
    <n v="0.19512195121951201"/>
    <n v="562.95438766831296"/>
  </r>
  <r>
    <s v="6b0e35db-1446-c410-799e-0af3ef0d73d0"/>
    <x v="37"/>
    <x v="45"/>
    <x v="1"/>
    <x v="0"/>
    <x v="0"/>
    <n v="1.1544715447154399"/>
    <n v="3378.62536665077"/>
  </r>
  <r>
    <s v="6b18a5ba-2b62-1d9f-bc2f-2838adedc3e5"/>
    <x v="15"/>
    <x v="28"/>
    <x v="1"/>
    <x v="0"/>
    <x v="6"/>
    <n v="1.1341463414634101"/>
    <n v="2961.4750813205301"/>
  </r>
  <r>
    <s v="6b2c6e3a-c49c-5f89-cd4a-e40630a1ba5f"/>
    <x v="17"/>
    <x v="15"/>
    <x v="0"/>
    <x v="0"/>
    <x v="4"/>
    <n v="1.70325203252032"/>
    <n v="1719.2832770451801"/>
  </r>
  <r>
    <s v="6b4526d8-2232-6c70-37da-197fa0524f0a"/>
    <x v="10"/>
    <x v="1"/>
    <x v="1"/>
    <x v="0"/>
    <x v="9"/>
    <n v="1.61788617886178"/>
    <n v="4105.8917649507803"/>
  </r>
  <r>
    <s v="6b62d47c-4b6c-455e-bbde-08888f788743"/>
    <x v="14"/>
    <x v="20"/>
    <x v="0"/>
    <x v="0"/>
    <x v="8"/>
    <n v="0.19512195121951201"/>
    <n v="163.64705631057501"/>
  </r>
  <r>
    <s v="6b9247da-b2d2-4691-23f0-0f6035007bcc"/>
    <x v="2"/>
    <x v="44"/>
    <x v="1"/>
    <x v="0"/>
    <x v="1"/>
    <n v="0.66666666666666596"/>
    <n v="1564.3170262533199"/>
  </r>
  <r>
    <s v="6bbcb6b6-86cd-794b-7c15-8682d811d9f1"/>
    <x v="44"/>
    <x v="10"/>
    <x v="0"/>
    <x v="0"/>
    <x v="9"/>
    <n v="1.61788617886178"/>
    <n v="1366.6109493542299"/>
  </r>
  <r>
    <s v="6bddafae-3cbc-124d-dec6-ada4373408bb"/>
    <x v="14"/>
    <x v="41"/>
    <x v="0"/>
    <x v="0"/>
    <x v="1"/>
    <n v="0.66666666666666596"/>
    <n v="649.38603603955198"/>
  </r>
  <r>
    <s v="6beac7dd-5fc7-1bb7-ae42-a993da33393f"/>
    <x v="17"/>
    <x v="4"/>
    <x v="1"/>
    <x v="0"/>
    <x v="4"/>
    <n v="1.70325203252032"/>
    <n v="5352.8411824140103"/>
  </r>
  <r>
    <s v="6c436e78-515d-9755-ba58-70adb54d3b16"/>
    <x v="6"/>
    <x v="18"/>
    <x v="0"/>
    <x v="0"/>
    <x v="5"/>
    <n v="0.53252032520325199"/>
    <n v="565.02642259768197"/>
  </r>
  <r>
    <s v="6c509f91-140f-48c9-ffb0-8d7de515713c"/>
    <x v="15"/>
    <x v="33"/>
    <x v="1"/>
    <x v="0"/>
    <x v="9"/>
    <n v="1.61788617886178"/>
    <n v="5157.5462910256401"/>
  </r>
  <r>
    <s v="6c8a7e35-e9e5-b41d-3e9b-614d69142e26"/>
    <x v="15"/>
    <x v="29"/>
    <x v="0"/>
    <x v="0"/>
    <x v="7"/>
    <n v="0.46341463414634099"/>
    <n v="429.43743794198002"/>
  </r>
  <r>
    <s v="6c8a94dc-a9ea-fce2-c652-f24a886d5eea"/>
    <x v="1"/>
    <x v="19"/>
    <x v="1"/>
    <x v="0"/>
    <x v="1"/>
    <n v="0.66666666666666596"/>
    <n v="1964.99029653252"/>
  </r>
  <r>
    <s v="6ca2e12e-5048-3973-8f57-e5d17b332b49"/>
    <x v="28"/>
    <x v="20"/>
    <x v="1"/>
    <x v="0"/>
    <x v="6"/>
    <n v="1.1341463414634101"/>
    <n v="2738.19631846638"/>
  </r>
  <r>
    <s v="6ca5bf7d-697d-aa62-f0d5-1ccc50a0a5c6"/>
    <x v="2"/>
    <x v="27"/>
    <x v="0"/>
    <x v="0"/>
    <x v="7"/>
    <n v="0.46341463414634099"/>
    <n v="498.76048715809497"/>
  </r>
  <r>
    <s v="6cb7e02b-723e-341c-6643-3decdc2ca9f0"/>
    <x v="15"/>
    <x v="26"/>
    <x v="1"/>
    <x v="0"/>
    <x v="2"/>
    <n v="1.2073170731707299"/>
    <n v="3661.4445892486701"/>
  </r>
  <r>
    <s v="6cb9c207-6ae1-4bef-10b6-f51ef7c981ea"/>
    <x v="34"/>
    <x v="27"/>
    <x v="0"/>
    <x v="0"/>
    <x v="2"/>
    <n v="1.2073170731707299"/>
    <n v="1299.40232180661"/>
  </r>
  <r>
    <s v="6cd8876f-0ebc-3d77-d431-39f0d8f8b911"/>
    <x v="14"/>
    <x v="7"/>
    <x v="0"/>
    <x v="0"/>
    <x v="8"/>
    <n v="0.19512195121951201"/>
    <n v="208.51320454811801"/>
  </r>
  <r>
    <s v="6cf1491f-8fa5-c0c3-1c8f-f5358d630e60"/>
    <x v="21"/>
    <x v="3"/>
    <x v="0"/>
    <x v="0"/>
    <x v="5"/>
    <n v="0.53252032520325199"/>
    <n v="557.030570015276"/>
  </r>
  <r>
    <s v="6cfb4c48-461c-0b7b-2700-f62043e63d72"/>
    <x v="9"/>
    <x v="20"/>
    <x v="1"/>
    <x v="0"/>
    <x v="4"/>
    <n v="1.70325203252032"/>
    <n v="4112.2016395606297"/>
  </r>
  <r>
    <s v="6d08fb5f-0e84-1ef3-3fdb-3ba73627aa8a"/>
    <x v="15"/>
    <x v="29"/>
    <x v="1"/>
    <x v="0"/>
    <x v="9"/>
    <n v="1.61788617886178"/>
    <n v="4315.9016804757002"/>
  </r>
  <r>
    <s v="6d1191e6-56b5-2cb7-545f-d056ff01a793"/>
    <x v="13"/>
    <x v="20"/>
    <x v="0"/>
    <x v="0"/>
    <x v="3"/>
    <n v="1.11788617886178"/>
    <n v="937.56126011267202"/>
  </r>
  <r>
    <s v="6d31f233-130d-158a-eb41-72a45f206ad6"/>
    <x v="17"/>
    <x v="21"/>
    <x v="0"/>
    <x v="0"/>
    <x v="6"/>
    <n v="1.1341463414634101"/>
    <n v="1136.6918746680101"/>
  </r>
  <r>
    <s v="6db9a254-4f8e-0c5b-7950-6cbe9c53c7ed"/>
    <x v="1"/>
    <x v="25"/>
    <x v="1"/>
    <x v="0"/>
    <x v="1"/>
    <n v="0.66666666666666596"/>
    <n v="1703.9746772922899"/>
  </r>
  <r>
    <s v="6e2ee7ad-d0bc-a7ca-3221-4966b84a611f"/>
    <x v="6"/>
    <x v="2"/>
    <x v="0"/>
    <x v="0"/>
    <x v="4"/>
    <n v="1.70325203252032"/>
    <n v="1449.0077575687101"/>
  </r>
  <r>
    <s v="6e4d203b-60b3-4de0-52e0-51bcdce0146d"/>
    <x v="15"/>
    <x v="40"/>
    <x v="1"/>
    <x v="0"/>
    <x v="7"/>
    <n v="0.46341463414634099"/>
    <n v="1327.5227079751201"/>
  </r>
  <r>
    <s v="6e625399-4f01-104d-d32b-dc5121bda768"/>
    <x v="35"/>
    <x v="7"/>
    <x v="1"/>
    <x v="0"/>
    <x v="2"/>
    <n v="1.2073170731707299"/>
    <n v="3714.0025147023298"/>
  </r>
  <r>
    <s v="6e635380-6ed3-d46e-c426-a1c396313745"/>
    <x v="9"/>
    <x v="0"/>
    <x v="1"/>
    <x v="0"/>
    <x v="6"/>
    <n v="1.1341463414634101"/>
    <n v="2857.81271591425"/>
  </r>
  <r>
    <s v="6e69521e-f080-3468-ef05-a01b0f86e073"/>
    <x v="37"/>
    <x v="10"/>
    <x v="0"/>
    <x v="0"/>
    <x v="3"/>
    <n v="1.11788617886178"/>
    <n v="944.26635947842999"/>
  </r>
  <r>
    <s v="6e6fc2ec-f50d-5d2c-1bff-fb71060b8674"/>
    <x v="28"/>
    <x v="10"/>
    <x v="1"/>
    <x v="0"/>
    <x v="9"/>
    <n v="1.61788617886178"/>
    <n v="3934.0358632329198"/>
  </r>
  <r>
    <s v="6ec7cf04-7e0d-8f8c-f674-7865c56adc46"/>
    <x v="21"/>
    <x v="27"/>
    <x v="1"/>
    <x v="0"/>
    <x v="8"/>
    <n v="0.19512195121951201"/>
    <n v="604.53555049965701"/>
  </r>
  <r>
    <s v="6ee62b9a-054c-b6f8-5bff-dd97d5590da3"/>
    <x v="38"/>
    <x v="22"/>
    <x v="1"/>
    <x v="0"/>
    <x v="3"/>
    <n v="1.11788617886178"/>
    <n v="3003.4197203674798"/>
  </r>
  <r>
    <s v="6ef7d83e-2355-f6bc-e586-a39d9af6ddb0"/>
    <x v="17"/>
    <x v="11"/>
    <x v="0"/>
    <x v="0"/>
    <x v="6"/>
    <n v="1.1341463414634101"/>
    <n v="904.91360506194599"/>
  </r>
  <r>
    <s v="6f11053e-a0a7-4120-da03-c1cdd0e19f24"/>
    <x v="1"/>
    <x v="6"/>
    <x v="0"/>
    <x v="0"/>
    <x v="3"/>
    <n v="1.11788617886178"/>
    <n v="1073.50003771821"/>
  </r>
  <r>
    <s v="6f1f903d-7d2a-85da-3721-33785071ebe8"/>
    <x v="17"/>
    <x v="18"/>
    <x v="1"/>
    <x v="1"/>
    <x v="6"/>
    <n v="1.1341463414634101"/>
    <n v="3720.16922537764"/>
  </r>
  <r>
    <s v="6f25bd16-e802-a118-c639-0c6bbe2be125"/>
    <x v="13"/>
    <x v="4"/>
    <x v="1"/>
    <x v="0"/>
    <x v="6"/>
    <n v="1.1341463414634101"/>
    <n v="3564.3023625143401"/>
  </r>
  <r>
    <s v="6f450287-fcf8-7a10-4214-1ba993526252"/>
    <x v="28"/>
    <x v="30"/>
    <x v="1"/>
    <x v="0"/>
    <x v="0"/>
    <n v="1.1544715447154399"/>
    <n v="2689.7034533502001"/>
  </r>
  <r>
    <s v="6f489cce-8385-c973-f69c-e2e0293abfdd"/>
    <x v="28"/>
    <x v="27"/>
    <x v="0"/>
    <x v="0"/>
    <x v="1"/>
    <n v="0.66666666666666596"/>
    <n v="717.51508678883795"/>
  </r>
  <r>
    <s v="6f50bc73-1cfb-9e32-8a7e-6b1d9d98def6"/>
    <x v="15"/>
    <x v="42"/>
    <x v="0"/>
    <x v="0"/>
    <x v="2"/>
    <n v="1.2073170731707299"/>
    <n v="1167.67150787123"/>
  </r>
  <r>
    <s v="6f594561-f40a-0cef-502e-486dfedf1b0f"/>
    <x v="17"/>
    <x v="17"/>
    <x v="0"/>
    <x v="0"/>
    <x v="0"/>
    <n v="1.1544715447154399"/>
    <n v="1100.7605246877099"/>
  </r>
  <r>
    <s v="6fa7c488-66fc-6e30-9d56-69bea89b6030"/>
    <x v="28"/>
    <x v="20"/>
    <x v="0"/>
    <x v="0"/>
    <x v="9"/>
    <n v="1.61788617886178"/>
    <n v="1356.9068419085199"/>
  </r>
  <r>
    <s v="6fcfd58c-ec58-3626-2174-a6fd13172023"/>
    <x v="7"/>
    <x v="32"/>
    <x v="0"/>
    <x v="0"/>
    <x v="0"/>
    <n v="1.1544715447154399"/>
    <n v="1003.3665503879701"/>
  </r>
  <r>
    <s v="6fdd0315-ddd3-8b34-5c23-9e8c568b1557"/>
    <x v="33"/>
    <x v="32"/>
    <x v="1"/>
    <x v="0"/>
    <x v="5"/>
    <n v="0.53252032520325199"/>
    <n v="1332.3121639610999"/>
  </r>
  <r>
    <s v="6fde60c9-79c5-904d-57d2-ee1362360fcc"/>
    <x v="1"/>
    <x v="38"/>
    <x v="1"/>
    <x v="0"/>
    <x v="5"/>
    <n v="0.53252032520325199"/>
    <n v="1440.95193156965"/>
  </r>
  <r>
    <s v="6feb2ed0-5987-948c-8974-3f3164741c02"/>
    <x v="28"/>
    <x v="32"/>
    <x v="0"/>
    <x v="0"/>
    <x v="2"/>
    <n v="1.2073170731707299"/>
    <n v="1049.2953009339001"/>
  </r>
  <r>
    <s v="70084fc3-e157-f619-594b-ec2864beb36f"/>
    <x v="8"/>
    <x v="30"/>
    <x v="0"/>
    <x v="0"/>
    <x v="3"/>
    <n v="1.11788617886178"/>
    <n v="904.74321664858803"/>
  </r>
  <r>
    <s v="700c9d77-e5dc-c88e-e90b-085d01e3eddc"/>
    <x v="15"/>
    <x v="13"/>
    <x v="0"/>
    <x v="0"/>
    <x v="1"/>
    <n v="0.66666666666666596"/>
    <n v="571.20947051904795"/>
  </r>
  <r>
    <s v="70133df2-e377-2769-e67c-d7d221ebfa66"/>
    <x v="39"/>
    <x v="17"/>
    <x v="0"/>
    <x v="0"/>
    <x v="2"/>
    <n v="1.2073170731707299"/>
    <n v="1151.1474501135599"/>
  </r>
  <r>
    <s v="704121dc-bed8-610d-afb0-141755303eee"/>
    <x v="49"/>
    <x v="19"/>
    <x v="1"/>
    <x v="0"/>
    <x v="6"/>
    <n v="1.1341463414634101"/>
    <n v="3342.8798337352"/>
  </r>
  <r>
    <s v="707117d4-ac4c-068a-c01b-29577130ebf1"/>
    <x v="14"/>
    <x v="41"/>
    <x v="0"/>
    <x v="0"/>
    <x v="7"/>
    <n v="0.46341463414634099"/>
    <n v="451.40248846651798"/>
  </r>
  <r>
    <s v="70d40e0a-6cf2-c8e5-9039-3ab47a311538"/>
    <x v="8"/>
    <x v="6"/>
    <x v="1"/>
    <x v="0"/>
    <x v="1"/>
    <n v="0.66666666666666596"/>
    <n v="1842.92065253695"/>
  </r>
  <r>
    <s v="70eb6320-2848-b4d6-7325-c4e63a784376"/>
    <x v="2"/>
    <x v="34"/>
    <x v="0"/>
    <x v="0"/>
    <x v="1"/>
    <n v="0.66666666666666596"/>
    <n v="631.13678161862697"/>
  </r>
  <r>
    <s v="71130212-dc67-94c7-b4d7-181e767698ed"/>
    <x v="18"/>
    <x v="9"/>
    <x v="1"/>
    <x v="1"/>
    <x v="6"/>
    <n v="1.1341463414634101"/>
    <n v="3855.1121275023302"/>
  </r>
  <r>
    <s v="713ef21a-4efc-d63f-430d-a8a153fbc62e"/>
    <x v="15"/>
    <x v="7"/>
    <x v="0"/>
    <x v="0"/>
    <x v="6"/>
    <n v="1.1341463414634101"/>
    <n v="1211.98300143594"/>
  </r>
  <r>
    <s v="7178726c-3a3f-8b7b-9d63-5753b284cbcc"/>
    <x v="18"/>
    <x v="22"/>
    <x v="1"/>
    <x v="0"/>
    <x v="8"/>
    <n v="0.19512195121951201"/>
    <n v="524.23326028232498"/>
  </r>
  <r>
    <s v="719fe858-a871-be69-d6ea-8822a32f3663"/>
    <x v="2"/>
    <x v="19"/>
    <x v="0"/>
    <x v="0"/>
    <x v="2"/>
    <n v="1.2073170731707299"/>
    <n v="1236.1739648980199"/>
  </r>
  <r>
    <s v="71b202eb-bbe5-1363-b28e-98d910d9a2f6"/>
    <x v="17"/>
    <x v="37"/>
    <x v="0"/>
    <x v="0"/>
    <x v="6"/>
    <n v="1.1341463414634101"/>
    <n v="937.737829080084"/>
  </r>
  <r>
    <s v="71be2425-3741-2c5f-2870-07f8b7b0a35f"/>
    <x v="17"/>
    <x v="33"/>
    <x v="1"/>
    <x v="0"/>
    <x v="5"/>
    <n v="0.53252032520325199"/>
    <n v="1697.5843319707501"/>
  </r>
  <r>
    <s v="72093aad-690b-8913-f26e-79953e52bb55"/>
    <x v="31"/>
    <x v="21"/>
    <x v="0"/>
    <x v="0"/>
    <x v="9"/>
    <n v="1.61788617886178"/>
    <n v="1621.51744128269"/>
  </r>
  <r>
    <s v="722646e7-64d3-1e8f-c48d-b71e15b10bc9"/>
    <x v="10"/>
    <x v="13"/>
    <x v="0"/>
    <x v="0"/>
    <x v="7"/>
    <n v="0.46341463414634099"/>
    <n v="397.06024170226499"/>
  </r>
  <r>
    <s v="7272f646-50b6-698c-e561-550474cc0f57"/>
    <x v="35"/>
    <x v="32"/>
    <x v="0"/>
    <x v="0"/>
    <x v="2"/>
    <n v="1.2073170731707299"/>
    <n v="1049.2953009339001"/>
  </r>
  <r>
    <s v="729ad7be-b728-f4b5-a147-ccdf004176f9"/>
    <x v="13"/>
    <x v="22"/>
    <x v="1"/>
    <x v="0"/>
    <x v="4"/>
    <n v="1.70325203252032"/>
    <n v="4576.1195012144599"/>
  </r>
  <r>
    <s v="72c1f400-f5c7-d283-4d65-224a20ef8c39"/>
    <x v="2"/>
    <x v="16"/>
    <x v="0"/>
    <x v="0"/>
    <x v="5"/>
    <n v="0.53252032520325199"/>
    <n v="459.53406468215002"/>
  </r>
  <r>
    <s v="72d9289a-9f3d-2de6-0e03-6befe6e486d3"/>
    <x v="21"/>
    <x v="27"/>
    <x v="0"/>
    <x v="0"/>
    <x v="3"/>
    <n v="1.11788617886178"/>
    <n v="1203.1502979690799"/>
  </r>
  <r>
    <s v="72dbe889-ecc3-c4b0-bcb1-2d675e076994"/>
    <x v="6"/>
    <x v="9"/>
    <x v="1"/>
    <x v="0"/>
    <x v="6"/>
    <n v="1.1341463414634101"/>
    <n v="3589.7929651309501"/>
  </r>
  <r>
    <s v="72e22924-3b48-7665-05ae-d9bc07437528"/>
    <x v="22"/>
    <x v="25"/>
    <x v="0"/>
    <x v="0"/>
    <x v="4"/>
    <n v="1.70325203252032"/>
    <n v="1512.30675722971"/>
  </r>
  <r>
    <s v="72eb890d-0e04-9809-bbc9-d7c490adf2f4"/>
    <x v="28"/>
    <x v="39"/>
    <x v="1"/>
    <x v="0"/>
    <x v="6"/>
    <n v="1.1341463414634101"/>
    <n v="3225.8669191171698"/>
  </r>
  <r>
    <s v="72f29f42-f8db-8946-379b-d93c8e209e3a"/>
    <x v="50"/>
    <x v="38"/>
    <x v="1"/>
    <x v="0"/>
    <x v="1"/>
    <n v="0.66666666666666596"/>
    <n v="1803.93982272841"/>
  </r>
  <r>
    <s v="7309ee0f-a481-478f-73b4-4efd6366e5d6"/>
    <x v="4"/>
    <x v="16"/>
    <x v="0"/>
    <x v="0"/>
    <x v="5"/>
    <n v="0.53252032520325199"/>
    <n v="459.53406468215002"/>
  </r>
  <r>
    <s v="73145d91-e96e-6872-10af-1c7e80d21c21"/>
    <x v="17"/>
    <x v="23"/>
    <x v="0"/>
    <x v="0"/>
    <x v="1"/>
    <n v="0.66666666666666596"/>
    <n v="613.40037359173596"/>
  </r>
  <r>
    <s v="732f46d6-ac66-f179-a741-0d0577ca1571"/>
    <x v="21"/>
    <x v="3"/>
    <x v="1"/>
    <x v="0"/>
    <x v="8"/>
    <n v="0.19512195121951201"/>
    <n v="587.54669879159405"/>
  </r>
  <r>
    <s v="73682394-9496-4dba-8aa8-b41c86931604"/>
    <x v="10"/>
    <x v="7"/>
    <x v="0"/>
    <x v="0"/>
    <x v="1"/>
    <n v="0.66666666666666596"/>
    <n v="712.42011553940495"/>
  </r>
  <r>
    <s v="7390d521-b68b-f757-a8bf-ae2cc143b84c"/>
    <x v="1"/>
    <x v="16"/>
    <x v="0"/>
    <x v="0"/>
    <x v="8"/>
    <n v="0.19512195121951201"/>
    <n v="168.37889392933701"/>
  </r>
  <r>
    <s v="73afca17-6332-d2b8-a792-a8addfa092ef"/>
    <x v="28"/>
    <x v="19"/>
    <x v="0"/>
    <x v="0"/>
    <x v="8"/>
    <n v="0.19512195121951201"/>
    <n v="199.78569129665101"/>
  </r>
  <r>
    <s v="73d1cba3-2316-ab4f-150c-9f262079d4e7"/>
    <x v="28"/>
    <x v="28"/>
    <x v="0"/>
    <x v="0"/>
    <x v="4"/>
    <n v="1.70325203252032"/>
    <n v="1544.98576989916"/>
  </r>
  <r>
    <s v="73ecec43-4a14-42e1-f059-f365530eb1cc"/>
    <x v="37"/>
    <x v="36"/>
    <x v="0"/>
    <x v="0"/>
    <x v="6"/>
    <n v="1.1341463414634101"/>
    <n v="1112.6489553756501"/>
  </r>
  <r>
    <s v="7403b859-45ab-3733-b71c-fd48cd7df94e"/>
    <x v="28"/>
    <x v="15"/>
    <x v="0"/>
    <x v="0"/>
    <x v="3"/>
    <n v="1.11788617886178"/>
    <n v="1128.40787872894"/>
  </r>
  <r>
    <s v="740532fa-5009-5a0c-9f68-a3a40366fa22"/>
    <x v="28"/>
    <x v="38"/>
    <x v="0"/>
    <x v="0"/>
    <x v="1"/>
    <n v="0.66666666666666596"/>
    <n v="626.65517026854695"/>
  </r>
  <r>
    <s v="742531b5-71d8-cbf8-2dec-529df72a0880"/>
    <x v="1"/>
    <x v="12"/>
    <x v="0"/>
    <x v="0"/>
    <x v="5"/>
    <n v="0.53252032520325199"/>
    <n v="553.07517619633404"/>
  </r>
  <r>
    <s v="743068a9-28f6-1b1f-1748-33ddb6b0f3e9"/>
    <x v="4"/>
    <x v="19"/>
    <x v="1"/>
    <x v="0"/>
    <x v="8"/>
    <n v="0.19512195121951201"/>
    <n v="575.11911118025"/>
  </r>
  <r>
    <s v="744bcc75-18f0-3b02-6170-009304c1a19b"/>
    <x v="27"/>
    <x v="8"/>
    <x v="1"/>
    <x v="0"/>
    <x v="6"/>
    <n v="1.1341463414634101"/>
    <n v="2940.4460734668201"/>
  </r>
  <r>
    <s v="74764a5b-1abc-7e20-dbe6-0bd7f752c1e6"/>
    <x v="18"/>
    <x v="33"/>
    <x v="1"/>
    <x v="1"/>
    <x v="7"/>
    <n v="0.46341463414634099"/>
    <n v="1586.4724179167999"/>
  </r>
  <r>
    <s v="74a233b3-2086-721f-f280-0d14f8ce3dd5"/>
    <x v="28"/>
    <x v="28"/>
    <x v="1"/>
    <x v="0"/>
    <x v="2"/>
    <n v="1.2073170731707299"/>
    <n v="3152.5379897928301"/>
  </r>
  <r>
    <s v="74bd304d-fcc2-4e13-502f-d151583c6947"/>
    <x v="28"/>
    <x v="1"/>
    <x v="1"/>
    <x v="0"/>
    <x v="4"/>
    <n v="1.70325203252032"/>
    <n v="4322.5342952622595"/>
  </r>
  <r>
    <s v="74d55e52-2b45-a319-836c-a93dc627a917"/>
    <x v="33"/>
    <x v="23"/>
    <x v="1"/>
    <x v="0"/>
    <x v="3"/>
    <n v="1.11788617886178"/>
    <n v="2960.91745787728"/>
  </r>
  <r>
    <s v="7506321e-02d4-8b69-f922-4edf65b34222"/>
    <x v="7"/>
    <x v="28"/>
    <x v="0"/>
    <x v="0"/>
    <x v="0"/>
    <n v="1.1544715447154399"/>
    <n v="1047.19799200802"/>
  </r>
  <r>
    <s v="75633ed4-f447-cafc-bbe0-0377e6114094"/>
    <x v="47"/>
    <x v="28"/>
    <x v="1"/>
    <x v="0"/>
    <x v="4"/>
    <n v="1.70325203252032"/>
    <n v="4447.5199249939196"/>
  </r>
  <r>
    <s v="7569d150-b53f-13be-8192-671ba97d5358"/>
    <x v="6"/>
    <x v="31"/>
    <x v="1"/>
    <x v="0"/>
    <x v="7"/>
    <n v="0.46341463414634099"/>
    <n v="1446.04005451373"/>
  </r>
  <r>
    <s v="757c2419-4a2f-16fd-68e5-5d9006635658"/>
    <x v="1"/>
    <x v="1"/>
    <x v="0"/>
    <x v="0"/>
    <x v="2"/>
    <n v="1.2073170731707299"/>
    <n v="1064.3573298301701"/>
  </r>
  <r>
    <s v="7599ba39-be4c-61e0-54b7-7b6e2890f597"/>
    <x v="21"/>
    <x v="46"/>
    <x v="0"/>
    <x v="0"/>
    <x v="7"/>
    <n v="0.46341463414634099"/>
    <n v="385.90192758844302"/>
  </r>
  <r>
    <s v="75ab04b3-ef2a-2046-52f3-151f18295359"/>
    <x v="21"/>
    <x v="34"/>
    <x v="1"/>
    <x v="0"/>
    <x v="1"/>
    <n v="0.66666666666666596"/>
    <n v="1816.84094852769"/>
  </r>
  <r>
    <s v="75dca64c-43a7-c357-62fd-055faaa08834"/>
    <x v="13"/>
    <x v="35"/>
    <x v="1"/>
    <x v="0"/>
    <x v="8"/>
    <n v="0.19512195121951201"/>
    <n v="513.14485695312806"/>
  </r>
  <r>
    <s v="7624131c-f707-be61-13e2-a2cf68bdaa18"/>
    <x v="2"/>
    <x v="36"/>
    <x v="0"/>
    <x v="0"/>
    <x v="3"/>
    <n v="1.11788617886178"/>
    <n v="1096.69699902618"/>
  </r>
  <r>
    <s v="763cf842-6c04-9ba5-b759-ad2bc824f255"/>
    <x v="3"/>
    <x v="7"/>
    <x v="0"/>
    <x v="0"/>
    <x v="9"/>
    <n v="1.61788617886178"/>
    <n v="1728.9219877114799"/>
  </r>
  <r>
    <s v="7649585e-f6c6-9859-d3a2-6a09df7bbbef"/>
    <x v="15"/>
    <x v="41"/>
    <x v="0"/>
    <x v="0"/>
    <x v="8"/>
    <n v="0.19512195121951201"/>
    <n v="190.06420567011199"/>
  </r>
  <r>
    <s v="769ef5a7-07cb-bd23-adad-21b087881daa"/>
    <x v="32"/>
    <x v="45"/>
    <x v="0"/>
    <x v="0"/>
    <x v="9"/>
    <n v="1.61788617886178"/>
    <n v="1644.7933889922399"/>
  </r>
  <r>
    <s v="76a896a7-2b56-f6a5-f79b-9c7447e72be2"/>
    <x v="4"/>
    <x v="31"/>
    <x v="0"/>
    <x v="0"/>
    <x v="2"/>
    <n v="1.2073170731707299"/>
    <n v="1308.6951777025099"/>
  </r>
  <r>
    <s v="76ba3948-5026-234c-4fbd-4974c142f615"/>
    <x v="34"/>
    <x v="26"/>
    <x v="0"/>
    <x v="1"/>
    <x v="6"/>
    <n v="1.1341463414634101"/>
    <n v="1283.1410923702499"/>
  </r>
  <r>
    <s v="76c64989-9a7d-0ccc-9921-1f957eb9c3ab"/>
    <x v="28"/>
    <x v="22"/>
    <x v="0"/>
    <x v="0"/>
    <x v="0"/>
    <n v="1.1544715447154399"/>
    <n v="1077.4776130692801"/>
  </r>
  <r>
    <s v="76f14409-0ca5-8505-d46a-74f20f4be973"/>
    <x v="17"/>
    <x v="5"/>
    <x v="1"/>
    <x v="0"/>
    <x v="5"/>
    <n v="0.53252032520325199"/>
    <n v="1580.82109038922"/>
  </r>
  <r>
    <s v="76f372c3-c992-e1af-c1b0-7d3a214c91bf"/>
    <x v="32"/>
    <x v="18"/>
    <x v="0"/>
    <x v="0"/>
    <x v="8"/>
    <n v="0.19512195121951201"/>
    <n v="207.03258232586799"/>
  </r>
  <r>
    <s v="772d9af1-d0b9-0599-c36d-c92572834ee9"/>
    <x v="6"/>
    <x v="8"/>
    <x v="0"/>
    <x v="0"/>
    <x v="3"/>
    <n v="1.11788617886178"/>
    <n v="1006.81178604351"/>
  </r>
  <r>
    <s v="77312f06-5fd6-4a0c-6bc2-4b784c21df64"/>
    <x v="1"/>
    <x v="29"/>
    <x v="0"/>
    <x v="0"/>
    <x v="7"/>
    <n v="0.46341463414634099"/>
    <n v="429.43743794198002"/>
  </r>
  <r>
    <s v="776a74a6-ac3f-d23e-d2be-9032449db8fb"/>
    <x v="28"/>
    <x v="30"/>
    <x v="1"/>
    <x v="0"/>
    <x v="3"/>
    <n v="1.11788617886178"/>
    <n v="2604.4663720820599"/>
  </r>
  <r>
    <s v="776d6518-68b5-08af-3d25-58e853c72d87"/>
    <x v="6"/>
    <x v="30"/>
    <x v="0"/>
    <x v="0"/>
    <x v="2"/>
    <n v="1.2073170731707299"/>
    <n v="977.12267398047504"/>
  </r>
  <r>
    <s v="778b2b03-4d15-c7d5-2ef0-aafdcb4be837"/>
    <x v="1"/>
    <x v="40"/>
    <x v="0"/>
    <x v="0"/>
    <x v="9"/>
    <n v="1.61788617886178"/>
    <n v="1610.00327956553"/>
  </r>
  <r>
    <s v="77b40195-868b-cd39-14ee-ab15ec802336"/>
    <x v="1"/>
    <x v="39"/>
    <x v="1"/>
    <x v="0"/>
    <x v="7"/>
    <n v="0.46341463414634099"/>
    <n v="1318.09616049949"/>
  </r>
  <r>
    <s v="77d7fcd4-595a-02cb-8be9-3ad3b45d71fb"/>
    <x v="20"/>
    <x v="10"/>
    <x v="1"/>
    <x v="0"/>
    <x v="5"/>
    <n v="0.53252032520325199"/>
    <n v="1294.87110071234"/>
  </r>
  <r>
    <s v="78108fb3-8075-ca4b-f33f-7b4353e61163"/>
    <x v="30"/>
    <x v="32"/>
    <x v="1"/>
    <x v="0"/>
    <x v="5"/>
    <n v="0.53252032520325199"/>
    <n v="1332.3121639610999"/>
  </r>
  <r>
    <s v="7870061a-745a-2359-0fbe-49874e623a78"/>
    <x v="28"/>
    <x v="15"/>
    <x v="1"/>
    <x v="0"/>
    <x v="8"/>
    <n v="0.19512195121951201"/>
    <n v="566.98043403807299"/>
  </r>
  <r>
    <s v="7882ca15-a5a2-bf2e-ab98-bc26f2a4fb10"/>
    <x v="10"/>
    <x v="13"/>
    <x v="1"/>
    <x v="0"/>
    <x v="2"/>
    <n v="1.2073170731707299"/>
    <n v="2977.8404113747802"/>
  </r>
  <r>
    <s v="7883e868-4510-a02f-edeb-8b7bf14d2cb1"/>
    <x v="13"/>
    <x v="0"/>
    <x v="1"/>
    <x v="0"/>
    <x v="6"/>
    <n v="1.1341463414634101"/>
    <n v="2857.81271591425"/>
  </r>
  <r>
    <s v="78968d7b-6e7e-3b19-dfe6-a45ce0c87b4d"/>
    <x v="17"/>
    <x v="7"/>
    <x v="1"/>
    <x v="0"/>
    <x v="2"/>
    <n v="1.2073170731707299"/>
    <n v="3714.0025147023298"/>
  </r>
  <r>
    <s v="789bc0bc-a035-24b6-7690-ca5cf21847cb"/>
    <x v="10"/>
    <x v="22"/>
    <x v="1"/>
    <x v="0"/>
    <x v="9"/>
    <n v="1.61788617886178"/>
    <n v="4346.7674498409397"/>
  </r>
  <r>
    <s v="78c9cb00-7b9e-6f9a-adbd-2536b8117aef"/>
    <x v="33"/>
    <x v="8"/>
    <x v="0"/>
    <x v="0"/>
    <x v="3"/>
    <n v="1.11788617886178"/>
    <n v="1006.81178604351"/>
  </r>
  <r>
    <s v="79309e3e-4dd2-cd08-645e-e1bda37cd223"/>
    <x v="1"/>
    <x v="16"/>
    <x v="0"/>
    <x v="0"/>
    <x v="5"/>
    <n v="0.53252032520325199"/>
    <n v="459.53406468215002"/>
  </r>
  <r>
    <s v="7933be95-deca-8e9b-7c98-c1b0b9c38c54"/>
    <x v="35"/>
    <x v="24"/>
    <x v="0"/>
    <x v="0"/>
    <x v="3"/>
    <n v="1.11788617886178"/>
    <n v="885.60639635192899"/>
  </r>
  <r>
    <s v="7934fc6b-3f48-f13d-1cc1-5bf4831ca6bc"/>
    <x v="7"/>
    <x v="26"/>
    <x v="0"/>
    <x v="0"/>
    <x v="3"/>
    <n v="1.11788617886178"/>
    <n v="1177.70167274767"/>
  </r>
  <r>
    <s v="7979da8a-6b8a-00d1-95ef-e1b19540772d"/>
    <x v="2"/>
    <x v="11"/>
    <x v="0"/>
    <x v="0"/>
    <x v="3"/>
    <n v="1.11788617886178"/>
    <n v="891.93993330478497"/>
  </r>
  <r>
    <s v="79814384-7c35-9466-7cf6-ba40d727bc92"/>
    <x v="25"/>
    <x v="43"/>
    <x v="1"/>
    <x v="0"/>
    <x v="5"/>
    <n v="0.53252032520325199"/>
    <n v="1231.8632310691401"/>
  </r>
  <r>
    <s v="79ae07f0-8203-d78a-d2a1-bffe554a1ebf"/>
    <x v="27"/>
    <x v="12"/>
    <x v="1"/>
    <x v="0"/>
    <x v="4"/>
    <n v="1.70325203252032"/>
    <n v="5092.3742376681503"/>
  </r>
  <r>
    <s v="79bb2e97-0664-2f67-36fd-cb09d4d84999"/>
    <x v="29"/>
    <x v="1"/>
    <x v="0"/>
    <x v="0"/>
    <x v="1"/>
    <n v="0.66666666666666596"/>
    <n v="587.72593297019898"/>
  </r>
  <r>
    <s v="79ca02c3-f7e9-2471-ba12-701c9edaa7d3"/>
    <x v="2"/>
    <x v="41"/>
    <x v="0"/>
    <x v="0"/>
    <x v="9"/>
    <n v="1.61788617886178"/>
    <n v="1575.94903868135"/>
  </r>
  <r>
    <s v="79cf51c3-4fdf-2ef1-f4ba-cc6c641169ea"/>
    <x v="6"/>
    <x v="36"/>
    <x v="0"/>
    <x v="0"/>
    <x v="4"/>
    <n v="1.70325203252032"/>
    <n v="1670.9674276071601"/>
  </r>
  <r>
    <s v="7a3660d9-b924-bf0d-004a-dc97d132bcd9"/>
    <x v="8"/>
    <x v="35"/>
    <x v="0"/>
    <x v="0"/>
    <x v="9"/>
    <n v="1.61788617886178"/>
    <n v="1478.0475180242399"/>
  </r>
  <r>
    <s v="7a448343-9e82-31a7-7295-13d59a27529e"/>
    <x v="6"/>
    <x v="4"/>
    <x v="0"/>
    <x v="1"/>
    <x v="7"/>
    <n v="0.46341463414634099"/>
    <n v="543.312103314041"/>
  </r>
  <r>
    <s v="7a5c86b1-c29e-28b2-8773-bc5921a84cb9"/>
    <x v="8"/>
    <x v="28"/>
    <x v="1"/>
    <x v="0"/>
    <x v="2"/>
    <n v="1.2073170731707299"/>
    <n v="3152.5379897928301"/>
  </r>
  <r>
    <s v="7a5edcb6-a961-5c96-d4aa-c706802862d7"/>
    <x v="6"/>
    <x v="41"/>
    <x v="1"/>
    <x v="0"/>
    <x v="2"/>
    <n v="1.2073170731707299"/>
    <n v="3385.3920155488299"/>
  </r>
  <r>
    <s v="7a663a85-8c31-82ec-def0-f7e7b0b97c23"/>
    <x v="2"/>
    <x v="23"/>
    <x v="1"/>
    <x v="0"/>
    <x v="0"/>
    <n v="1.1544715447154399"/>
    <n v="3057.8202110441698"/>
  </r>
  <r>
    <s v="7aaa422d-94f8-46dc-9d2d-584c273c591d"/>
    <x v="1"/>
    <x v="5"/>
    <x v="1"/>
    <x v="0"/>
    <x v="2"/>
    <n v="1.2073170731707299"/>
    <n v="3583.99896065342"/>
  </r>
  <r>
    <s v="7acfb765-55bf-18f9-aa49-551bcfbe842e"/>
    <x v="35"/>
    <x v="7"/>
    <x v="0"/>
    <x v="0"/>
    <x v="5"/>
    <n v="0.53252032520325199"/>
    <n v="569.06728741257405"/>
  </r>
  <r>
    <s v="7b0bc093-98e8-df0d-cd0c-f5b95e6fec4f"/>
    <x v="22"/>
    <x v="47"/>
    <x v="1"/>
    <x v="0"/>
    <x v="6"/>
    <n v="1.1341463414634101"/>
    <n v="2680.2789227686699"/>
  </r>
  <r>
    <s v="7b3da114-3d2c-3b8f-7f97-c8087cbacf84"/>
    <x v="6"/>
    <x v="30"/>
    <x v="0"/>
    <x v="0"/>
    <x v="8"/>
    <n v="0.19512195121951201"/>
    <n v="157.91881599684399"/>
  </r>
  <r>
    <s v="7b665bcd-e992-45af-e159-b615a6f7509d"/>
    <x v="13"/>
    <x v="31"/>
    <x v="0"/>
    <x v="1"/>
    <x v="0"/>
    <n v="1.1544715447154399"/>
    <n v="1343.9032521715201"/>
  </r>
  <r>
    <s v="7babccea-cad1-a2df-2e78-ae5b61ea285d"/>
    <x v="1"/>
    <x v="43"/>
    <x v="1"/>
    <x v="0"/>
    <x v="8"/>
    <n v="0.19512195121951201"/>
    <n v="451.36973352152"/>
  </r>
  <r>
    <s v="7bae489c-9aa4-a1db-d9b5-ed387a07d5cc"/>
    <x v="10"/>
    <x v="26"/>
    <x v="1"/>
    <x v="1"/>
    <x v="9"/>
    <n v="1.61788617886178"/>
    <n v="5269.2244810371803"/>
  </r>
  <r>
    <s v="7bd34194-67a7-23d5-1f63-da4758351249"/>
    <x v="6"/>
    <x v="40"/>
    <x v="0"/>
    <x v="0"/>
    <x v="8"/>
    <n v="0.19512195121951201"/>
    <n v="194.17124979684701"/>
  </r>
  <r>
    <s v="7c49b1d4-4e73-0dfe-4599-40e6aa85d80e"/>
    <x v="7"/>
    <x v="1"/>
    <x v="1"/>
    <x v="0"/>
    <x v="8"/>
    <n v="0.19512195121951201"/>
    <n v="495.18292642622498"/>
  </r>
  <r>
    <s v="7c5e5b94-3b65-4126-d7a4-2df27da55190"/>
    <x v="4"/>
    <x v="0"/>
    <x v="0"/>
    <x v="0"/>
    <x v="0"/>
    <n v="1.1544715447154399"/>
    <n v="1010.54226541252"/>
  </r>
  <r>
    <s v="7c861642-ca86-cacb-b197-5c0af526cacc"/>
    <x v="15"/>
    <x v="14"/>
    <x v="0"/>
    <x v="0"/>
    <x v="7"/>
    <n v="0.46341463414634099"/>
    <n v="414.40557058241001"/>
  </r>
  <r>
    <s v="7cc142ec-fb2b-2acd-5d13-1b8c5c19de62"/>
    <x v="28"/>
    <x v="28"/>
    <x v="1"/>
    <x v="0"/>
    <x v="3"/>
    <n v="1.11788617886178"/>
    <n v="2919.0166572155799"/>
  </r>
  <r>
    <s v="7cc239bc-2b1f-9741-0d12-93ee4a0fcb0f"/>
    <x v="6"/>
    <x v="36"/>
    <x v="1"/>
    <x v="0"/>
    <x v="2"/>
    <n v="1.2073170731707299"/>
    <n v="3409.6031160091502"/>
  </r>
  <r>
    <s v="7ce6fdec-3ead-62f0-05d8-b31bfccc0c84"/>
    <x v="48"/>
    <x v="14"/>
    <x v="1"/>
    <x v="0"/>
    <x v="2"/>
    <n v="1.2073170731707299"/>
    <n v="3107.9255114755701"/>
  </r>
  <r>
    <s v="7cf54923-7776-f4ee-6b5a-92931f97e412"/>
    <x v="1"/>
    <x v="33"/>
    <x v="1"/>
    <x v="0"/>
    <x v="5"/>
    <n v="0.53252032520325199"/>
    <n v="1697.5843319707501"/>
  </r>
  <r>
    <s v="7d3b2ad6-c5ff-1a1f-939b-57c4d0481ec2"/>
    <x v="7"/>
    <x v="34"/>
    <x v="1"/>
    <x v="0"/>
    <x v="0"/>
    <n v="1.1544715447154399"/>
    <n v="3146.2367645235599"/>
  </r>
  <r>
    <s v="7d83fa32-e0ba-364a-b01d-39cae3531228"/>
    <x v="4"/>
    <x v="31"/>
    <x v="0"/>
    <x v="0"/>
    <x v="5"/>
    <n v="0.53252032520325199"/>
    <n v="577.23592013141297"/>
  </r>
  <r>
    <s v="7d87cfba-4d49-ec9c-99fa-956cdacc0215"/>
    <x v="36"/>
    <x v="31"/>
    <x v="0"/>
    <x v="0"/>
    <x v="6"/>
    <n v="1.1341463414634101"/>
    <n v="1229.3803184478199"/>
  </r>
  <r>
    <s v="7d9f473e-b5ce-14d7-f005-7af7e651397a"/>
    <x v="50"/>
    <x v="37"/>
    <x v="1"/>
    <x v="0"/>
    <x v="6"/>
    <n v="1.1341463414634101"/>
    <n v="2699.4473091660998"/>
  </r>
  <r>
    <s v="7da5cc64-0b8c-6287-b25c-c2fb13b0108a"/>
    <x v="1"/>
    <x v="9"/>
    <x v="1"/>
    <x v="0"/>
    <x v="5"/>
    <n v="0.53252032520325199"/>
    <n v="1685.5300302227699"/>
  </r>
  <r>
    <s v="7df95f41-6935-102b-62ff-611ab48d0203"/>
    <x v="6"/>
    <x v="9"/>
    <x v="1"/>
    <x v="1"/>
    <x v="0"/>
    <n v="1.1544715447154399"/>
    <n v="3924.2001584611598"/>
  </r>
  <r>
    <s v="7e17b2a7-a87c-770b-b75a-4eb725d3d001"/>
    <x v="6"/>
    <x v="37"/>
    <x v="1"/>
    <x v="0"/>
    <x v="5"/>
    <n v="0.53252032520325199"/>
    <n v="1267.4824283181299"/>
  </r>
  <r>
    <s v="7e2910e4-c74f-4781-724b-fd2313c17164"/>
    <x v="2"/>
    <x v="41"/>
    <x v="1"/>
    <x v="0"/>
    <x v="2"/>
    <n v="1.2073170731707299"/>
    <n v="3385.3920155488299"/>
  </r>
  <r>
    <s v="7e36c08c-bf64-6ff9-bdb6-000fcc809d2d"/>
    <x v="28"/>
    <x v="26"/>
    <x v="1"/>
    <x v="0"/>
    <x v="4"/>
    <n v="1.70325203252032"/>
    <n v="5165.4723329804401"/>
  </r>
  <r>
    <s v="7e467c7b-a80a-be76-2588-e7fa22bca177"/>
    <x v="22"/>
    <x v="14"/>
    <x v="1"/>
    <x v="0"/>
    <x v="1"/>
    <n v="0.66666666666666596"/>
    <n v="1716.1608884915599"/>
  </r>
  <r>
    <s v="7e4ae1f1-7d8b-dc46-b890-491cd1e8d14f"/>
    <x v="32"/>
    <x v="35"/>
    <x v="1"/>
    <x v="0"/>
    <x v="8"/>
    <n v="0.19512195121951201"/>
    <n v="513.14485695312806"/>
  </r>
  <r>
    <s v="7e624155-4a8a-5983-bc0c-0891f14d798e"/>
    <x v="1"/>
    <x v="2"/>
    <x v="0"/>
    <x v="0"/>
    <x v="1"/>
    <n v="0.66666666666666596"/>
    <n v="567.153394370569"/>
  </r>
  <r>
    <s v="7ea26c01-99ea-0369-2897-b63cf961b527"/>
    <x v="1"/>
    <x v="37"/>
    <x v="1"/>
    <x v="0"/>
    <x v="0"/>
    <n v="1.1544715447154399"/>
    <n v="2747.8245010866399"/>
  </r>
  <r>
    <s v="7ea696ea-084f-80bd-814d-d03840186032"/>
    <x v="20"/>
    <x v="23"/>
    <x v="0"/>
    <x v="0"/>
    <x v="1"/>
    <n v="0.66666666666666596"/>
    <n v="613.40037359173596"/>
  </r>
  <r>
    <s v="7eb4dd54-3c79-528f-1aeb-8afe559e8cf2"/>
    <x v="10"/>
    <x v="6"/>
    <x v="1"/>
    <x v="0"/>
    <x v="6"/>
    <n v="1.1341463414634101"/>
    <n v="3135.2125735232198"/>
  </r>
  <r>
    <s v="7ecd1bb8-7a48-0d2a-12fa-f9b49fb10c25"/>
    <x v="13"/>
    <x v="19"/>
    <x v="1"/>
    <x v="0"/>
    <x v="9"/>
    <n v="1.61788617886178"/>
    <n v="4768.69596353624"/>
  </r>
  <r>
    <s v="7edcbff0-63be-57ca-5618-c7d64e635b96"/>
    <x v="4"/>
    <x v="0"/>
    <x v="0"/>
    <x v="0"/>
    <x v="8"/>
    <n v="0.19512195121951201"/>
    <n v="170.79587584436999"/>
  </r>
  <r>
    <s v="7f2c9043-b047-d6a7-f316-12b4c96cac7b"/>
    <x v="6"/>
    <x v="17"/>
    <x v="0"/>
    <x v="0"/>
    <x v="3"/>
    <n v="1.11788617886178"/>
    <n v="1065.87726862367"/>
  </r>
  <r>
    <s v="7f3efca5-7c76-01df-ddeb-8783bab624b9"/>
    <x v="4"/>
    <x v="42"/>
    <x v="1"/>
    <x v="0"/>
    <x v="0"/>
    <n v="1.1544715447154399"/>
    <n v="3214.2229125702002"/>
  </r>
  <r>
    <s v="7f453c6e-ec98-116e-6279-0bfbeec5eba0"/>
    <x v="7"/>
    <x v="33"/>
    <x v="1"/>
    <x v="0"/>
    <x v="8"/>
    <n v="0.19512195121951201"/>
    <n v="622.01563308851996"/>
  </r>
  <r>
    <s v="7fd61923-999a-7709-bc86-bfa2ade13b95"/>
    <x v="2"/>
    <x v="6"/>
    <x v="1"/>
    <x v="0"/>
    <x v="1"/>
    <n v="0.66666666666666596"/>
    <n v="1842.92065253695"/>
  </r>
  <r>
    <s v="7fd85186-86aa-69e6-7be6-104cf136926d"/>
    <x v="17"/>
    <x v="46"/>
    <x v="1"/>
    <x v="0"/>
    <x v="6"/>
    <n v="1.1341463414634101"/>
    <n v="2718.7527809369899"/>
  </r>
  <r>
    <s v="7fe441e6-c58d-7d36-1c71-f0eadd50f9b3"/>
    <x v="28"/>
    <x v="15"/>
    <x v="0"/>
    <x v="0"/>
    <x v="7"/>
    <n v="0.46341463414634099"/>
    <n v="467.77635700036097"/>
  </r>
  <r>
    <s v="7ff27c82-6ecf-3010-8213-bd9531d3a25c"/>
    <x v="8"/>
    <x v="46"/>
    <x v="0"/>
    <x v="0"/>
    <x v="4"/>
    <n v="1.70325203252032"/>
    <n v="1418.3588391189201"/>
  </r>
  <r>
    <s v="80246909-5a24-762a-2f08-8f28e1cb0108"/>
    <x v="2"/>
    <x v="0"/>
    <x v="1"/>
    <x v="0"/>
    <x v="3"/>
    <n v="1.11788617886178"/>
    <n v="2816.8404905964799"/>
  </r>
  <r>
    <s v="80328f29-dd2e-3b2a-df15-a7d238968580"/>
    <x v="17"/>
    <x v="27"/>
    <x v="1"/>
    <x v="0"/>
    <x v="4"/>
    <n v="1.70325203252032"/>
    <n v="5277.0915762365903"/>
  </r>
  <r>
    <s v="803e9929-0530-42f3-06cc-2016b397776e"/>
    <x v="1"/>
    <x v="16"/>
    <x v="0"/>
    <x v="0"/>
    <x v="8"/>
    <n v="0.19512195121951201"/>
    <n v="168.37889392933701"/>
  </r>
  <r>
    <s v="8042e47a-b8b9-9020-25dd-2b29c4d64935"/>
    <x v="17"/>
    <x v="0"/>
    <x v="1"/>
    <x v="0"/>
    <x v="6"/>
    <n v="1.1341463414634101"/>
    <n v="2857.81271591425"/>
  </r>
  <r>
    <s v="806a0617-f9f1-9255-7c23-69dd080ea133"/>
    <x v="4"/>
    <x v="16"/>
    <x v="0"/>
    <x v="0"/>
    <x v="6"/>
    <n v="1.1341463414634101"/>
    <n v="978.70232096427401"/>
  </r>
  <r>
    <s v="806b8d5f-56c1-4c27-51e7-4901381e252c"/>
    <x v="6"/>
    <x v="29"/>
    <x v="0"/>
    <x v="0"/>
    <x v="1"/>
    <n v="0.66666666666666596"/>
    <n v="617.78719142530394"/>
  </r>
  <r>
    <s v="807fe70c-6861-ddc2-acfe-3cc83b9591b1"/>
    <x v="40"/>
    <x v="24"/>
    <x v="1"/>
    <x v="0"/>
    <x v="2"/>
    <n v="1.2073170731707299"/>
    <n v="2753.3277935842002"/>
  </r>
  <r>
    <s v="80914d85-2d59-af9c-e402-538c00326061"/>
    <x v="4"/>
    <x v="12"/>
    <x v="1"/>
    <x v="0"/>
    <x v="1"/>
    <n v="0.66666666666666596"/>
    <n v="1993.1965989918299"/>
  </r>
  <r>
    <s v="809960e8-78b0-9422-c5e0-c3d575d5c7bc"/>
    <x v="18"/>
    <x v="36"/>
    <x v="0"/>
    <x v="0"/>
    <x v="2"/>
    <n v="1.2073170731707299"/>
    <n v="1184.43275894827"/>
  </r>
  <r>
    <s v="81067dc6-4bf1-1eda-7753-2acb6be1debc"/>
    <x v="17"/>
    <x v="18"/>
    <x v="0"/>
    <x v="0"/>
    <x v="2"/>
    <n v="1.2073170731707299"/>
    <n v="1281.01410314131"/>
  </r>
  <r>
    <s v="8190e4bc-92ac-5a35-8f4c-bf5c5f382e8e"/>
    <x v="8"/>
    <x v="14"/>
    <x v="0"/>
    <x v="0"/>
    <x v="3"/>
    <n v="1.11788617886178"/>
    <n v="999.66256061546301"/>
  </r>
  <r>
    <s v="81ac9456-c025-5eae-d403-93fb401b6745"/>
    <x v="13"/>
    <x v="36"/>
    <x v="1"/>
    <x v="0"/>
    <x v="1"/>
    <n v="0.66666666666666596"/>
    <n v="1882.7438081666701"/>
  </r>
  <r>
    <s v="81afd50c-2ec6-2a72-d876-1c4ffec0b6b5"/>
    <x v="17"/>
    <x v="47"/>
    <x v="0"/>
    <x v="0"/>
    <x v="7"/>
    <n v="0.46341463414634099"/>
    <n v="380.440917623497"/>
  </r>
  <r>
    <s v="81c78aeb-1648-5ece-55dd-6498ca49d316"/>
    <x v="15"/>
    <x v="15"/>
    <x v="0"/>
    <x v="0"/>
    <x v="5"/>
    <n v="0.53252032520325199"/>
    <n v="537.53248041269501"/>
  </r>
  <r>
    <s v="81e028cd-b4fe-a227-a55e-c9038361cf0e"/>
    <x v="15"/>
    <x v="35"/>
    <x v="1"/>
    <x v="0"/>
    <x v="5"/>
    <n v="0.53252032520325199"/>
    <n v="1400.4578387679101"/>
  </r>
  <r>
    <s v="81f1b574-e09b-0b88-21a4-b45acd101239"/>
    <x v="17"/>
    <x v="34"/>
    <x v="0"/>
    <x v="0"/>
    <x v="1"/>
    <n v="0.66666666666666596"/>
    <n v="631.13678161862697"/>
  </r>
  <r>
    <s v="823aa0a8-b412-3fa7-0211-0732156be9ce"/>
    <x v="10"/>
    <x v="47"/>
    <x v="1"/>
    <x v="0"/>
    <x v="1"/>
    <n v="0.66666666666666596"/>
    <n v="1575.50445639448"/>
  </r>
  <r>
    <s v="8242cd5d-8194-e95c-c2dc-45c720bd66ed"/>
    <x v="25"/>
    <x v="10"/>
    <x v="0"/>
    <x v="0"/>
    <x v="4"/>
    <n v="1.70325203252032"/>
    <n v="1438.7185622598599"/>
  </r>
  <r>
    <s v="82828394-9ea1-2ee2-508d-47ac4ae33302"/>
    <x v="1"/>
    <x v="46"/>
    <x v="1"/>
    <x v="0"/>
    <x v="3"/>
    <n v="1.11788617886178"/>
    <n v="2679.7742464432699"/>
  </r>
  <r>
    <s v="82955bb9-61df-3571-fa8d-268f49de8c74"/>
    <x v="25"/>
    <x v="9"/>
    <x v="0"/>
    <x v="0"/>
    <x v="1"/>
    <n v="0.66666666666666596"/>
    <n v="733.01966910958595"/>
  </r>
  <r>
    <s v="829746bc-c4d2-9852-458d-379e423dbc34"/>
    <x v="36"/>
    <x v="8"/>
    <x v="0"/>
    <x v="0"/>
    <x v="4"/>
    <n v="1.70325203252032"/>
    <n v="1534.0150485535701"/>
  </r>
  <r>
    <s v="82d228d1-db25-61a2-a1fa-c5ae3d076115"/>
    <x v="1"/>
    <x v="24"/>
    <x v="1"/>
    <x v="0"/>
    <x v="2"/>
    <n v="1.2073170731707299"/>
    <n v="2753.3277935842002"/>
  </r>
  <r>
    <s v="82d79626-8154-b3a4-bdfa-f6f879ed5dd6"/>
    <x v="44"/>
    <x v="17"/>
    <x v="1"/>
    <x v="0"/>
    <x v="6"/>
    <n v="1.1341463414634101"/>
    <n v="3112.9498807700302"/>
  </r>
  <r>
    <s v="82f4956e-0f7e-0b85-613d-257ba648d30e"/>
    <x v="1"/>
    <x v="5"/>
    <x v="1"/>
    <x v="0"/>
    <x v="6"/>
    <n v="1.1341463414634101"/>
    <n v="3366.7869024319998"/>
  </r>
  <r>
    <s v="83036a7e-52b3-31d3-8f60-d4314a740915"/>
    <x v="30"/>
    <x v="46"/>
    <x v="1"/>
    <x v="0"/>
    <x v="2"/>
    <n v="1.2073170731707299"/>
    <n v="2894.1561861587302"/>
  </r>
  <r>
    <s v="834d79a7-f8ed-4d03-6998-f726be9fbb8d"/>
    <x v="14"/>
    <x v="29"/>
    <x v="1"/>
    <x v="0"/>
    <x v="0"/>
    <n v="1.1544715447154399"/>
    <n v="3079.6886363193398"/>
  </r>
  <r>
    <s v="83708375-87ae-7f6c-b4b2-9a1cb37c6c2a"/>
    <x v="17"/>
    <x v="1"/>
    <x v="0"/>
    <x v="0"/>
    <x v="4"/>
    <n v="1.70325203252032"/>
    <n v="1501.56808484459"/>
  </r>
  <r>
    <s v="838f4c7c-0585-d298-d52d-f0edaf4d31a5"/>
    <x v="26"/>
    <x v="13"/>
    <x v="1"/>
    <x v="0"/>
    <x v="4"/>
    <n v="1.70325203252032"/>
    <n v="4201.0610517374898"/>
  </r>
  <r>
    <s v="838f836e-89c0-2841-a650-11e800e65a9a"/>
    <x v="15"/>
    <x v="14"/>
    <x v="0"/>
    <x v="0"/>
    <x v="2"/>
    <n v="1.2073170731707299"/>
    <n v="1079.6355654647"/>
  </r>
  <r>
    <s v="84676858-10fa-6bf9-dee2-c24ec44da79c"/>
    <x v="22"/>
    <x v="25"/>
    <x v="0"/>
    <x v="0"/>
    <x v="7"/>
    <n v="0.46341463414634099"/>
    <n v="411.462936334576"/>
  </r>
  <r>
    <s v="84d8daef-e70a-a8ef-5016-aa919f755b31"/>
    <x v="1"/>
    <x v="3"/>
    <x v="1"/>
    <x v="0"/>
    <x v="9"/>
    <n v="1.61788617886178"/>
    <n v="4871.7413774802999"/>
  </r>
  <r>
    <s v="84f7407b-0c8c-57a4-ed0c-60065b8b3ad0"/>
    <x v="1"/>
    <x v="44"/>
    <x v="0"/>
    <x v="0"/>
    <x v="8"/>
    <n v="0.19512195121951201"/>
    <n v="159.04819430845899"/>
  </r>
  <r>
    <s v="84fb5b6d-8f79-4172-b98f-822b89401618"/>
    <x v="15"/>
    <x v="31"/>
    <x v="0"/>
    <x v="1"/>
    <x v="2"/>
    <n v="1.2073170731707299"/>
    <n v="1405.41995033431"/>
  </r>
  <r>
    <s v="85484a41-977b-f323-dd61-90a646ea1a2d"/>
    <x v="15"/>
    <x v="19"/>
    <x v="0"/>
    <x v="0"/>
    <x v="1"/>
    <n v="0.66666666666666596"/>
    <n v="682.60111193022396"/>
  </r>
  <r>
    <s v="8567054b-5cef-b3c9-3c6d-de2a01dfbdfb"/>
    <x v="1"/>
    <x v="39"/>
    <x v="1"/>
    <x v="0"/>
    <x v="1"/>
    <n v="0.66666666666666596"/>
    <n v="1896.20851159576"/>
  </r>
  <r>
    <s v="858d3eda-ac28-f833-2a0b-051d1ba70ea8"/>
    <x v="44"/>
    <x v="34"/>
    <x v="0"/>
    <x v="0"/>
    <x v="3"/>
    <n v="1.11788617886178"/>
    <n v="1058.3086277141599"/>
  </r>
  <r>
    <s v="8591d24c-532a-c5ea-7e61-413e0875f735"/>
    <x v="13"/>
    <x v="3"/>
    <x v="0"/>
    <x v="0"/>
    <x v="2"/>
    <n v="1.2073170731707299"/>
    <n v="1262.8861014850099"/>
  </r>
  <r>
    <s v="85b775b3-13df-eac1-5389-82527646b093"/>
    <x v="17"/>
    <x v="17"/>
    <x v="1"/>
    <x v="0"/>
    <x v="3"/>
    <n v="1.11788617886178"/>
    <n v="3068.3197749525398"/>
  </r>
  <r>
    <s v="85d51812-4d0e-566c-e362-6b0ee32dbf7f"/>
    <x v="30"/>
    <x v="11"/>
    <x v="1"/>
    <x v="0"/>
    <x v="2"/>
    <n v="1.2073170731707299"/>
    <n v="2773.0185991111498"/>
  </r>
  <r>
    <s v="861374d5-0c0d-7a32-5128-3613e89232e6"/>
    <x v="2"/>
    <x v="5"/>
    <x v="1"/>
    <x v="0"/>
    <x v="4"/>
    <n v="1.70325203252032"/>
    <n v="5056.2140219319399"/>
  </r>
  <r>
    <s v="863fd1db-9cbf-d9d9-c04b-333ab4132ef4"/>
    <x v="15"/>
    <x v="3"/>
    <x v="0"/>
    <x v="0"/>
    <x v="8"/>
    <n v="0.19512195121951201"/>
    <n v="204.10280428040599"/>
  </r>
  <r>
    <s v="865bfa16-bf5f-f5ad-d239-f8adc6650f35"/>
    <x v="27"/>
    <x v="39"/>
    <x v="0"/>
    <x v="0"/>
    <x v="4"/>
    <n v="1.70325203252032"/>
    <n v="1682.9175828831001"/>
  </r>
  <r>
    <s v="867138b2-26d7-caba-cda7-00cdba7af8ad"/>
    <x v="29"/>
    <x v="17"/>
    <x v="1"/>
    <x v="0"/>
    <x v="9"/>
    <n v="1.61788617886178"/>
    <n v="4440.6955288403997"/>
  </r>
  <r>
    <s v="867d4f2b-f477-6456-f196-d8b5f4b9705e"/>
    <x v="15"/>
    <x v="33"/>
    <x v="0"/>
    <x v="0"/>
    <x v="6"/>
    <n v="1.1341463414634101"/>
    <n v="1255.9456530335799"/>
  </r>
  <r>
    <s v="86b953f7-4086-845b-3e83-c70a129f97db"/>
    <x v="10"/>
    <x v="26"/>
    <x v="0"/>
    <x v="0"/>
    <x v="5"/>
    <n v="0.53252032520325199"/>
    <n v="561.01425138162006"/>
  </r>
  <r>
    <s v="86cc0c83-9af7-39d5-4afb-957a9d02693e"/>
    <x v="6"/>
    <x v="1"/>
    <x v="0"/>
    <x v="0"/>
    <x v="2"/>
    <n v="1.2073170731707299"/>
    <n v="1064.3573298301701"/>
  </r>
  <r>
    <s v="8716f890-2fdf-73e2-d914-188763a09d8e"/>
    <x v="23"/>
    <x v="43"/>
    <x v="0"/>
    <x v="0"/>
    <x v="9"/>
    <n v="1.61788617886178"/>
    <n v="1300.1122495975501"/>
  </r>
  <r>
    <s v="877c52a7-2766-7b60-b4b3-41c7f25b1fdd"/>
    <x v="28"/>
    <x v="29"/>
    <x v="1"/>
    <x v="0"/>
    <x v="6"/>
    <n v="1.1341463414634101"/>
    <n v="3025.4687659616102"/>
  </r>
  <r>
    <s v="87862631-4d69-53d8-643c-e7f8c907c1b5"/>
    <x v="6"/>
    <x v="23"/>
    <x v="0"/>
    <x v="0"/>
    <x v="0"/>
    <n v="1.1544715447154399"/>
    <n v="1062.2299152442199"/>
  </r>
  <r>
    <s v="879caad4-ac62-b4c2-2a42-08ef5ed67896"/>
    <x v="25"/>
    <x v="39"/>
    <x v="0"/>
    <x v="0"/>
    <x v="8"/>
    <n v="0.19512195121951201"/>
    <n v="192.79246772885099"/>
  </r>
  <r>
    <s v="87a865be-93a6-4947-133e-ce6792b584b0"/>
    <x v="2"/>
    <x v="29"/>
    <x v="1"/>
    <x v="0"/>
    <x v="3"/>
    <n v="1.11788617886178"/>
    <n v="2982.0928696754199"/>
  </r>
  <r>
    <s v="87b075e2-4ed1-5b95-c80f-8c9f95841e4d"/>
    <x v="2"/>
    <x v="19"/>
    <x v="0"/>
    <x v="0"/>
    <x v="3"/>
    <n v="1.11788617886178"/>
    <n v="1144.6055230537299"/>
  </r>
  <r>
    <s v="87bf41d6-2f95-24cf-e6f1-01588481b3c4"/>
    <x v="1"/>
    <x v="47"/>
    <x v="1"/>
    <x v="0"/>
    <x v="4"/>
    <n v="1.70325203252032"/>
    <n v="4025.22175139811"/>
  </r>
  <r>
    <s v="87d79a19-6f6a-6d80-328a-043052014a2c"/>
    <x v="15"/>
    <x v="11"/>
    <x v="0"/>
    <x v="0"/>
    <x v="1"/>
    <n v="0.66666666666666596"/>
    <n v="531.92054204358101"/>
  </r>
  <r>
    <s v="87d9ae80-7459-d865-f339-3eda692fcaba"/>
    <x v="32"/>
    <x v="3"/>
    <x v="0"/>
    <x v="0"/>
    <x v="6"/>
    <n v="1.1341463414634101"/>
    <n v="1186.34754987986"/>
  </r>
  <r>
    <s v="8802055f-3247-6b14-5dc0-b74b0eb7a423"/>
    <x v="17"/>
    <x v="20"/>
    <x v="1"/>
    <x v="0"/>
    <x v="0"/>
    <n v="1.1544715447154399"/>
    <n v="2787.2679370768901"/>
  </r>
  <r>
    <s v="88362112-0150-98ae-e5bb-b9bb06f4e69d"/>
    <x v="13"/>
    <x v="12"/>
    <x v="1"/>
    <x v="0"/>
    <x v="9"/>
    <n v="1.61788617886178"/>
    <n v="4837.1478438948097"/>
  </r>
  <r>
    <s v="8842e77c-1066-53c7-7159-69b1ee9db339"/>
    <x v="10"/>
    <x v="27"/>
    <x v="0"/>
    <x v="0"/>
    <x v="8"/>
    <n v="0.19512195121951201"/>
    <n v="210.00441564551301"/>
  </r>
  <r>
    <s v="88682e01-6ed1-861d-53f1-f26921acbc7d"/>
    <x v="6"/>
    <x v="44"/>
    <x v="0"/>
    <x v="0"/>
    <x v="6"/>
    <n v="1.1341463414634101"/>
    <n v="924.46762941791997"/>
  </r>
  <r>
    <s v="88820bd7-4ae5-2f7b-10bf-af8965ee9ff4"/>
    <x v="27"/>
    <x v="29"/>
    <x v="1"/>
    <x v="0"/>
    <x v="0"/>
    <n v="1.1544715447154399"/>
    <n v="3079.6886363193398"/>
  </r>
  <r>
    <s v="88a6fc12-cdd8-8143-8ec2-2835dce56ccf"/>
    <x v="17"/>
    <x v="47"/>
    <x v="1"/>
    <x v="0"/>
    <x v="5"/>
    <n v="0.53252032520325199"/>
    <n v="1258.4822182175401"/>
  </r>
  <r>
    <s v="88a929c1-3c1d-4e03-e90c-2883aea03b0d"/>
    <x v="1"/>
    <x v="20"/>
    <x v="1"/>
    <x v="0"/>
    <x v="2"/>
    <n v="1.2073170731707299"/>
    <n v="2914.85414546422"/>
  </r>
  <r>
    <s v="88a9f8c9-3f3b-b8bc-5c3b-e2019fbc36dd"/>
    <x v="35"/>
    <x v="39"/>
    <x v="1"/>
    <x v="0"/>
    <x v="3"/>
    <n v="1.11788617886178"/>
    <n v="3179.6179310294701"/>
  </r>
  <r>
    <s v="8902aac7-e361-f3bf-d21b-509a779aa98e"/>
    <x v="1"/>
    <x v="41"/>
    <x v="0"/>
    <x v="0"/>
    <x v="9"/>
    <n v="1.61788617886178"/>
    <n v="1575.94903868135"/>
  </r>
  <r>
    <s v="892edf50-e1b1-cb8a-8c0a-1f6a9dccf28c"/>
    <x v="2"/>
    <x v="34"/>
    <x v="0"/>
    <x v="0"/>
    <x v="3"/>
    <n v="1.11788617886178"/>
    <n v="1058.3086277141599"/>
  </r>
  <r>
    <s v="893780ed-616c-5486-689d-5af6a2734e4b"/>
    <x v="1"/>
    <x v="17"/>
    <x v="0"/>
    <x v="0"/>
    <x v="9"/>
    <n v="1.61788617886178"/>
    <n v="1542.61510149898"/>
  </r>
  <r>
    <s v="896da025-50ca-c838-c91e-4f8ce9d27f6e"/>
    <x v="14"/>
    <x v="14"/>
    <x v="0"/>
    <x v="0"/>
    <x v="4"/>
    <n v="1.70325203252032"/>
    <n v="1523.1222287195601"/>
  </r>
  <r>
    <s v="898393a8-e8d2-a91c-6c9c-d94bc5e7a513"/>
    <x v="2"/>
    <x v="3"/>
    <x v="1"/>
    <x v="0"/>
    <x v="1"/>
    <n v="0.66666666666666596"/>
    <n v="2007.4512208712799"/>
  </r>
  <r>
    <s v="89857565-de5e-a80f-2ff6-7d35ca9f2123"/>
    <x v="4"/>
    <x v="35"/>
    <x v="1"/>
    <x v="0"/>
    <x v="9"/>
    <n v="1.61788617886178"/>
    <n v="4254.8261055696903"/>
  </r>
  <r>
    <s v="89a79c65-3444-4310-02b4-abc6c84905f8"/>
    <x v="28"/>
    <x v="18"/>
    <x v="0"/>
    <x v="0"/>
    <x v="3"/>
    <n v="1.11788617886178"/>
    <n v="1186.1241695752799"/>
  </r>
  <r>
    <s v="89c52855-c306-9e08-d1c4-8881b4a033ad"/>
    <x v="1"/>
    <x v="40"/>
    <x v="1"/>
    <x v="0"/>
    <x v="4"/>
    <n v="1.70325203252032"/>
    <n v="4879.2281986103399"/>
  </r>
  <r>
    <s v="89e0922c-3989-df55-0116-5c0ef39fd700"/>
    <x v="2"/>
    <x v="5"/>
    <x v="1"/>
    <x v="0"/>
    <x v="9"/>
    <n v="1.61788617886178"/>
    <n v="4802.7999540069504"/>
  </r>
  <r>
    <s v="89efb752-85a9-b42c-4e12-464b80748b34"/>
    <x v="1"/>
    <x v="33"/>
    <x v="0"/>
    <x v="0"/>
    <x v="5"/>
    <n v="0.53252032520325199"/>
    <n v="589.70924927383396"/>
  </r>
  <r>
    <s v="89f02350-294e-bd32-d8ac-c5ce15dc9efb"/>
    <x v="2"/>
    <x v="25"/>
    <x v="0"/>
    <x v="0"/>
    <x v="1"/>
    <n v="0.66666666666666596"/>
    <n v="591.92913648132003"/>
  </r>
  <r>
    <s v="8a2f3f9a-c07e-4008-abe4-e3ed5222093e"/>
    <x v="15"/>
    <x v="46"/>
    <x v="1"/>
    <x v="0"/>
    <x v="9"/>
    <n v="1.61788617886178"/>
    <n v="3878.3641821251699"/>
  </r>
  <r>
    <s v="8a681b6f-d2ff-64a5-8727-265360ac0fa1"/>
    <x v="15"/>
    <x v="17"/>
    <x v="1"/>
    <x v="0"/>
    <x v="4"/>
    <n v="1.70325203252032"/>
    <n v="4675.0035843822297"/>
  </r>
  <r>
    <s v="8ab686be-25a5-eea0-cd71-cf57aec8bedc"/>
    <x v="8"/>
    <x v="41"/>
    <x v="0"/>
    <x v="0"/>
    <x v="6"/>
    <n v="1.1341463414634101"/>
    <n v="1104.7481954575301"/>
  </r>
  <r>
    <s v="8ad6e42c-11b1-00d7-d93d-bb4323a7af03"/>
    <x v="6"/>
    <x v="9"/>
    <x v="0"/>
    <x v="0"/>
    <x v="7"/>
    <n v="0.46341463414634099"/>
    <n v="509.53806267373602"/>
  </r>
  <r>
    <s v="8ad8febb-5c09-1dba-6ca0-ef9ec90b938e"/>
    <x v="14"/>
    <x v="27"/>
    <x v="0"/>
    <x v="0"/>
    <x v="0"/>
    <n v="1.1544715447154399"/>
    <n v="1242.5261259026199"/>
  </r>
  <r>
    <s v="8b2075d2-ec8c-4ec6-895b-9965e12d04d6"/>
    <x v="45"/>
    <x v="22"/>
    <x v="1"/>
    <x v="0"/>
    <x v="7"/>
    <n v="0.46341463414634099"/>
    <n v="1245.05399317052"/>
  </r>
  <r>
    <s v="8b51aa58-0a0d-02a7-b9a6-b216ce4b0f33"/>
    <x v="28"/>
    <x v="16"/>
    <x v="1"/>
    <x v="0"/>
    <x v="7"/>
    <n v="0.46341463414634099"/>
    <n v="1151.1838414224301"/>
  </r>
  <r>
    <s v="8b5d3e83-cbd3-4392-fb72-45bf5e5d69b8"/>
    <x v="15"/>
    <x v="37"/>
    <x v="1"/>
    <x v="0"/>
    <x v="8"/>
    <n v="0.19512195121951201"/>
    <n v="464.42104243717898"/>
  </r>
  <r>
    <s v="8bd1d232-cf50-df14-a6b3-8adbb43de814"/>
    <x v="29"/>
    <x v="17"/>
    <x v="1"/>
    <x v="0"/>
    <x v="5"/>
    <n v="0.53252032520325199"/>
    <n v="1461.63596552284"/>
  </r>
  <r>
    <s v="8bd920d5-550e-2325-d103-2f9303057855"/>
    <x v="2"/>
    <x v="0"/>
    <x v="0"/>
    <x v="0"/>
    <x v="6"/>
    <n v="1.1341463414634101"/>
    <n v="992.75102834540496"/>
  </r>
  <r>
    <s v="8be904d3-ab69-45c2-b610-85b1c806b3bd"/>
    <x v="28"/>
    <x v="40"/>
    <x v="1"/>
    <x v="0"/>
    <x v="2"/>
    <n v="1.2073170731707299"/>
    <n v="3458.54600235625"/>
  </r>
  <r>
    <s v="8c27c071-19d7-e4be-6279-cc615e2464a1"/>
    <x v="29"/>
    <x v="13"/>
    <x v="1"/>
    <x v="0"/>
    <x v="9"/>
    <n v="1.61788617886178"/>
    <n v="3990.5066792160401"/>
  </r>
  <r>
    <s v="8c2dcb65-8fc9-ff1a-5677-e67d0560d0b5"/>
    <x v="35"/>
    <x v="44"/>
    <x v="0"/>
    <x v="0"/>
    <x v="0"/>
    <n v="1.1544715447154399"/>
    <n v="941.03514965838394"/>
  </r>
  <r>
    <s v="8c4865bf-ba83-38b1-4c54-26957a60887f"/>
    <x v="49"/>
    <x v="12"/>
    <x v="1"/>
    <x v="0"/>
    <x v="1"/>
    <n v="0.66666666666666596"/>
    <n v="1993.1965989918299"/>
  </r>
  <r>
    <s v="8c589ba8-1617-88de-ffe6-ddb3bbaaab1c"/>
    <x v="7"/>
    <x v="33"/>
    <x v="1"/>
    <x v="0"/>
    <x v="6"/>
    <n v="1.1341463414634101"/>
    <n v="3615.4658673270201"/>
  </r>
  <r>
    <s v="8c5b3a2d-63aa-a74d-b05f-72a3a582183f"/>
    <x v="6"/>
    <x v="7"/>
    <x v="0"/>
    <x v="0"/>
    <x v="3"/>
    <n v="1.11788617886178"/>
    <n v="1194.6069010569299"/>
  </r>
  <r>
    <s v="8c7e4115-329f-99f0-b6a7-cfd71f04e605"/>
    <x v="3"/>
    <x v="34"/>
    <x v="0"/>
    <x v="0"/>
    <x v="2"/>
    <n v="1.2073170731707299"/>
    <n v="1142.97331793129"/>
  </r>
  <r>
    <s v="8c944f8e-bab1-aeeb-787f-1852f3f6b7fa"/>
    <x v="16"/>
    <x v="16"/>
    <x v="1"/>
    <x v="0"/>
    <x v="8"/>
    <n v="0.19512195121951201"/>
    <n v="484.70898586207898"/>
  </r>
  <r>
    <s v="8c94775f-17a2-d015-4006-584b7ee5c85c"/>
    <x v="15"/>
    <x v="35"/>
    <x v="0"/>
    <x v="0"/>
    <x v="8"/>
    <n v="0.19512195121951201"/>
    <n v="178.256987098401"/>
  </r>
  <r>
    <s v="8c9699dd-8da4-b185-8aa0-b6b44f503ce8"/>
    <x v="1"/>
    <x v="17"/>
    <x v="0"/>
    <x v="0"/>
    <x v="6"/>
    <n v="1.1341463414634101"/>
    <n v="1081.3809379854699"/>
  </r>
  <r>
    <s v="8ce75efb-258c-1874-e523-41a4ace5835f"/>
    <x v="10"/>
    <x v="46"/>
    <x v="1"/>
    <x v="0"/>
    <x v="4"/>
    <n v="1.70325203252032"/>
    <n v="4083.0014882171999"/>
  </r>
  <r>
    <s v="8d0669e8-5ab6-ee56-a663-509b8341bab6"/>
    <x v="13"/>
    <x v="32"/>
    <x v="0"/>
    <x v="0"/>
    <x v="7"/>
    <n v="0.46341463414634099"/>
    <n v="402.759812479679"/>
  </r>
  <r>
    <s v="8d12d1a0-f686-a680-06ca-b3c8f120a6d1"/>
    <x v="15"/>
    <x v="18"/>
    <x v="0"/>
    <x v="0"/>
    <x v="3"/>
    <n v="1.11788617886178"/>
    <n v="1186.1241695752799"/>
  </r>
  <r>
    <s v="8d62a72d-c28e-697f-ff1f-4f43206048ee"/>
    <x v="28"/>
    <x v="8"/>
    <x v="1"/>
    <x v="0"/>
    <x v="8"/>
    <n v="0.19512195121951201"/>
    <n v="505.883195435152"/>
  </r>
  <r>
    <s v="8def2faa-aca8-daba-da29-082f807c3169"/>
    <x v="6"/>
    <x v="47"/>
    <x v="1"/>
    <x v="0"/>
    <x v="0"/>
    <n v="1.1544715447154399"/>
    <n v="2728.3125952197202"/>
  </r>
  <r>
    <s v="8df31828-bebe-9180-e9cb-666ca9740ef4"/>
    <x v="22"/>
    <x v="18"/>
    <x v="1"/>
    <x v="0"/>
    <x v="8"/>
    <n v="0.19512195121951201"/>
    <n v="595.98059280334996"/>
  </r>
  <r>
    <s v="8e50d5e6-ba48-c904-78ee-ce989a608acd"/>
    <x v="6"/>
    <x v="14"/>
    <x v="1"/>
    <x v="0"/>
    <x v="1"/>
    <n v="0.66666666666666596"/>
    <n v="1716.1608884915599"/>
  </r>
  <r>
    <s v="8e64abf5-d71c-c759-0ad2-64bac94f2f33"/>
    <x v="1"/>
    <x v="29"/>
    <x v="1"/>
    <x v="0"/>
    <x v="9"/>
    <n v="1.61788617886178"/>
    <n v="4315.9016804757002"/>
  </r>
  <r>
    <s v="8e693e73-3356-91f1-7f90-787e54bed5e2"/>
    <x v="17"/>
    <x v="47"/>
    <x v="1"/>
    <x v="0"/>
    <x v="8"/>
    <n v="0.19512195121951201"/>
    <n v="461.12325553009299"/>
  </r>
  <r>
    <s v="8e69ee2c-d828-74e6-f725-9e761aec02fb"/>
    <x v="1"/>
    <x v="40"/>
    <x v="0"/>
    <x v="0"/>
    <x v="1"/>
    <n v="0.66666666666666596"/>
    <n v="663.41843680589602"/>
  </r>
  <r>
    <s v="8e9288db-5acd-ad00-85ce-c5ad9df63962"/>
    <x v="2"/>
    <x v="24"/>
    <x v="1"/>
    <x v="0"/>
    <x v="6"/>
    <n v="1.1341463414634101"/>
    <n v="2586.45944245788"/>
  </r>
  <r>
    <s v="8f00aa8b-48df-a40c-8d2e-560651fbacd9"/>
    <x v="1"/>
    <x v="20"/>
    <x v="1"/>
    <x v="0"/>
    <x v="6"/>
    <n v="1.1341463414634101"/>
    <n v="2738.19631846638"/>
  </r>
  <r>
    <s v="8f0359c8-c8c7-ddcd-474f-9c69eb13f39b"/>
    <x v="17"/>
    <x v="6"/>
    <x v="1"/>
    <x v="0"/>
    <x v="2"/>
    <n v="1.2073170731707299"/>
    <n v="3337.4843524602102"/>
  </r>
  <r>
    <s v="8f20a21a-f2c4-6af7-af4e-9fd870206192"/>
    <x v="1"/>
    <x v="33"/>
    <x v="0"/>
    <x v="0"/>
    <x v="8"/>
    <n v="0.19512195121951201"/>
    <n v="216.07667148964899"/>
  </r>
  <r>
    <s v="8f3be1fb-3953-3934-0160-c55da8f61e8c"/>
    <x v="17"/>
    <x v="32"/>
    <x v="1"/>
    <x v="0"/>
    <x v="0"/>
    <n v="1.1544715447154399"/>
    <n v="2888.37140889277"/>
  </r>
  <r>
    <s v="8f6b6242-d52d-252f-e54d-3ebcc1475f0e"/>
    <x v="23"/>
    <x v="17"/>
    <x v="1"/>
    <x v="0"/>
    <x v="8"/>
    <n v="0.19512195121951201"/>
    <n v="535.56126980989802"/>
  </r>
  <r>
    <s v="8f797298-3a89-2693-7795-068eafdcb5bb"/>
    <x v="28"/>
    <x v="7"/>
    <x v="1"/>
    <x v="0"/>
    <x v="0"/>
    <n v="1.1544715447154399"/>
    <n v="3551.4367480655301"/>
  </r>
  <r>
    <s v="8f920012-e8af-4f3c-e044-b796778aa820"/>
    <x v="10"/>
    <x v="3"/>
    <x v="0"/>
    <x v="0"/>
    <x v="5"/>
    <n v="0.53252032520325199"/>
    <n v="557.030570015276"/>
  </r>
  <r>
    <s v="8f9ccdca-e020-ed46-4163-133cfcc8316b"/>
    <x v="1"/>
    <x v="2"/>
    <x v="0"/>
    <x v="0"/>
    <x v="2"/>
    <n v="1.2073170731707299"/>
    <n v="1027.1009641954799"/>
  </r>
  <r>
    <s v="8fbf4a56-5321-a565-7e00-d1b17e74de63"/>
    <x v="17"/>
    <x v="18"/>
    <x v="1"/>
    <x v="0"/>
    <x v="5"/>
    <n v="0.53252032520325199"/>
    <n v="1626.5303678591399"/>
  </r>
  <r>
    <s v="8fcae17e-af03-819b-9957-46a7f5076afd"/>
    <x v="6"/>
    <x v="11"/>
    <x v="1"/>
    <x v="0"/>
    <x v="8"/>
    <n v="0.19512195121951201"/>
    <n v="448.16462207857001"/>
  </r>
  <r>
    <s v="8ff710db-f917-3f94-74f2-001f8b53f8a9"/>
    <x v="38"/>
    <x v="13"/>
    <x v="0"/>
    <x v="0"/>
    <x v="2"/>
    <n v="1.2073170731707299"/>
    <n v="1034.44641917169"/>
  </r>
  <r>
    <s v="900c6f01-ff7a-0333-8280-1f02be5b4eb1"/>
    <x v="28"/>
    <x v="14"/>
    <x v="0"/>
    <x v="0"/>
    <x v="5"/>
    <n v="0.53252032520325199"/>
    <n v="476.20289251136597"/>
  </r>
  <r>
    <s v="90816d56-2cb0-8095-0f78-4f8428a8c77c"/>
    <x v="1"/>
    <x v="15"/>
    <x v="1"/>
    <x v="0"/>
    <x v="7"/>
    <n v="0.46341463414634099"/>
    <n v="1346.5785308404199"/>
  </r>
  <r>
    <s v="90a46848-0b3d-6660-0a95-60e2f03289de"/>
    <x v="38"/>
    <x v="23"/>
    <x v="1"/>
    <x v="0"/>
    <x v="8"/>
    <n v="0.19512195121951201"/>
    <n v="516.814683556761"/>
  </r>
  <r>
    <s v="90c9e654-1d22-98f3-38fc-e1fff0b40dd9"/>
    <x v="17"/>
    <x v="16"/>
    <x v="0"/>
    <x v="0"/>
    <x v="5"/>
    <n v="0.53252032520325199"/>
    <n v="459.53406468215002"/>
  </r>
  <r>
    <s v="90e911ba-293d-4f20-341d-30d8f6ba336a"/>
    <x v="1"/>
    <x v="11"/>
    <x v="1"/>
    <x v="0"/>
    <x v="7"/>
    <n v="0.46341463414634099"/>
    <n v="1064.3909774366"/>
  </r>
  <r>
    <s v="90ef641a-bae1-6aa9-d132-5131454e5dba"/>
    <x v="28"/>
    <x v="30"/>
    <x v="1"/>
    <x v="0"/>
    <x v="7"/>
    <n v="0.46341463414634099"/>
    <n v="1079.66969606311"/>
  </r>
  <r>
    <s v="90f93a95-8684-56dc-79aa-9e9484aee434"/>
    <x v="14"/>
    <x v="8"/>
    <x v="0"/>
    <x v="0"/>
    <x v="6"/>
    <n v="1.1341463414634101"/>
    <n v="1021.45632111323"/>
  </r>
  <r>
    <s v="9135b3c8-156c-9095-103a-ccdcc9cc2463"/>
    <x v="1"/>
    <x v="37"/>
    <x v="0"/>
    <x v="0"/>
    <x v="8"/>
    <n v="0.19512195121951201"/>
    <n v="161.331239411627"/>
  </r>
  <r>
    <s v="913d7c51-37e8-c817-20a5-acf7bdd06422"/>
    <x v="27"/>
    <x v="8"/>
    <x v="1"/>
    <x v="0"/>
    <x v="7"/>
    <n v="0.46341463414634099"/>
    <n v="1201.4725891584801"/>
  </r>
  <r>
    <s v="914b724b-8285-3f40-ce47-d5687bfa9471"/>
    <x v="48"/>
    <x v="18"/>
    <x v="0"/>
    <x v="1"/>
    <x v="6"/>
    <n v="1.1341463414634101"/>
    <n v="1292.3176538288501"/>
  </r>
  <r>
    <s v="915de1c5-5ec5-2d5b-a5cc-3ecdbb4a4ace"/>
    <x v="2"/>
    <x v="1"/>
    <x v="1"/>
    <x v="0"/>
    <x v="5"/>
    <n v="0.53252032520325199"/>
    <n v="1351.4367367049001"/>
  </r>
  <r>
    <s v="91806918-5b51-61fe-5672-aa629fd1f179"/>
    <x v="15"/>
    <x v="9"/>
    <x v="0"/>
    <x v="0"/>
    <x v="1"/>
    <n v="0.66666666666666596"/>
    <n v="733.01966910958595"/>
  </r>
  <r>
    <s v="91a2c69f-f0cc-3711-3c3d-bcfd265dfb7f"/>
    <x v="6"/>
    <x v="45"/>
    <x v="0"/>
    <x v="0"/>
    <x v="8"/>
    <n v="0.19512195121951201"/>
    <n v="198.36704188851101"/>
  </r>
  <r>
    <s v="91ad1c4a-2ab5-f3ae-b019-368374b91b46"/>
    <x v="13"/>
    <x v="23"/>
    <x v="0"/>
    <x v="0"/>
    <x v="2"/>
    <n v="1.2073170731707299"/>
    <n v="1110.85311558991"/>
  </r>
  <r>
    <s v="922403ec-08be-7cea-390c-83ebdfd802c8"/>
    <x v="1"/>
    <x v="9"/>
    <x v="1"/>
    <x v="0"/>
    <x v="0"/>
    <n v="1.1544715447154399"/>
    <n v="3654.1261723913599"/>
  </r>
  <r>
    <s v="926c9267-a488-69dc-9ff9-fdb07b64d29a"/>
    <x v="6"/>
    <x v="33"/>
    <x v="0"/>
    <x v="1"/>
    <x v="0"/>
    <n v="1.1544715447154399"/>
    <n v="1372.9432807201499"/>
  </r>
  <r>
    <s v="92c8f440-27a8-f5a0-0e10-3634f1e0bcd9"/>
    <x v="1"/>
    <x v="0"/>
    <x v="1"/>
    <x v="0"/>
    <x v="5"/>
    <n v="0.53252032520325199"/>
    <n v="1341.8403791568701"/>
  </r>
  <r>
    <s v="92cb30d7-4ace-5fe3-6cdc-200d3631c25b"/>
    <x v="28"/>
    <x v="42"/>
    <x v="0"/>
    <x v="0"/>
    <x v="4"/>
    <n v="1.70325203252032"/>
    <n v="1647.3210834951101"/>
  </r>
  <r>
    <s v="92d00383-b1cd-a49d-3cd6-e1428c00fa23"/>
    <x v="22"/>
    <x v="7"/>
    <x v="0"/>
    <x v="0"/>
    <x v="4"/>
    <n v="1.70325203252032"/>
    <n v="1820.14651470128"/>
  </r>
  <r>
    <s v="92ffb3b6-2a5b-2dd1-64b9-10abb06c67b9"/>
    <x v="18"/>
    <x v="32"/>
    <x v="0"/>
    <x v="0"/>
    <x v="5"/>
    <n v="0.53252032520325199"/>
    <n v="462.82048627050898"/>
  </r>
  <r>
    <s v="933a33c5-6b78-032a-ba2a-e4bf4138f534"/>
    <x v="27"/>
    <x v="38"/>
    <x v="1"/>
    <x v="0"/>
    <x v="7"/>
    <n v="0.46341463414634099"/>
    <n v="1253.95816945755"/>
  </r>
  <r>
    <s v="93554d8c-976e-664f-df84-b2d13f1c1b68"/>
    <x v="38"/>
    <x v="16"/>
    <x v="0"/>
    <x v="0"/>
    <x v="8"/>
    <n v="0.19512195121951201"/>
    <n v="168.37889392933701"/>
  </r>
  <r>
    <s v="9391e45d-c84f-ee48-8a26-6ef84d0e35cd"/>
    <x v="30"/>
    <x v="46"/>
    <x v="1"/>
    <x v="0"/>
    <x v="0"/>
    <n v="1.1544715447154399"/>
    <n v="2767.4759490541401"/>
  </r>
  <r>
    <s v="93c8708f-5d70-8b6b-7cb1-0a84f1fafcb8"/>
    <x v="28"/>
    <x v="37"/>
    <x v="1"/>
    <x v="0"/>
    <x v="0"/>
    <n v="1.1544715447154399"/>
    <n v="2747.8245010866399"/>
  </r>
  <r>
    <s v="93d58c98-5c42-3c96-a5ab-17c6833e6e2e"/>
    <x v="6"/>
    <x v="47"/>
    <x v="0"/>
    <x v="0"/>
    <x v="7"/>
    <n v="0.46341463414634099"/>
    <n v="380.440917623497"/>
  </r>
  <r>
    <s v="93e33cbf-ddb1-1584-20c9-ec42440ad803"/>
    <x v="21"/>
    <x v="11"/>
    <x v="0"/>
    <x v="0"/>
    <x v="0"/>
    <n v="1.1544715447154399"/>
    <n v="921.130694758397"/>
  </r>
  <r>
    <s v="93edee10-dadf-3c55-c239-75312f73755d"/>
    <x v="19"/>
    <x v="29"/>
    <x v="0"/>
    <x v="0"/>
    <x v="2"/>
    <n v="1.2073170731707299"/>
    <n v="1118.7975356909401"/>
  </r>
  <r>
    <s v="941b4c8c-4c31-d7b7-7e05-f7a2709af66a"/>
    <x v="49"/>
    <x v="12"/>
    <x v="1"/>
    <x v="0"/>
    <x v="8"/>
    <n v="0.19512195121951201"/>
    <n v="583.37461433907197"/>
  </r>
  <r>
    <s v="94259111-9f26-f051-7dad-d95e10c650c1"/>
    <x v="25"/>
    <x v="46"/>
    <x v="1"/>
    <x v="0"/>
    <x v="9"/>
    <n v="1.61788617886178"/>
    <n v="3878.3641821251699"/>
  </r>
  <r>
    <s v="944a8eef-f66a-bf1f-cbc7-1aac54faf536"/>
    <x v="16"/>
    <x v="45"/>
    <x v="0"/>
    <x v="0"/>
    <x v="0"/>
    <n v="1.1544715447154399"/>
    <n v="1173.6716645070201"/>
  </r>
  <r>
    <s v="9491c7cf-da8c-d6a3-639c-64b111484503"/>
    <x v="9"/>
    <x v="39"/>
    <x v="1"/>
    <x v="0"/>
    <x v="5"/>
    <n v="0.53252032520325199"/>
    <n v="1514.6543598722201"/>
  </r>
  <r>
    <s v="9498e7a1-fa0f-c696-290f-b145e60d4310"/>
    <x v="4"/>
    <x v="14"/>
    <x v="1"/>
    <x v="0"/>
    <x v="2"/>
    <n v="1.2073170731707299"/>
    <n v="3107.9255114755701"/>
  </r>
  <r>
    <s v="94e6cfe6-e690-6937-72cc-ebdcfca599e3"/>
    <x v="9"/>
    <x v="46"/>
    <x v="1"/>
    <x v="0"/>
    <x v="0"/>
    <n v="1.1544715447154399"/>
    <n v="2767.4759490541401"/>
  </r>
  <r>
    <s v="94f1cf1f-b13c-d018-9daa-764991799e94"/>
    <x v="38"/>
    <x v="3"/>
    <x v="0"/>
    <x v="0"/>
    <x v="2"/>
    <n v="1.2073170731707299"/>
    <n v="1262.8861014850099"/>
  </r>
  <r>
    <s v="9501b901-1348-9a01-ff25-f66b7ad36316"/>
    <x v="13"/>
    <x v="14"/>
    <x v="0"/>
    <x v="0"/>
    <x v="6"/>
    <n v="1.1341463414634101"/>
    <n v="1014.20310695168"/>
  </r>
  <r>
    <s v="9535a874-fd00-0e34-bf57-0d47f58a327b"/>
    <x v="21"/>
    <x v="36"/>
    <x v="1"/>
    <x v="0"/>
    <x v="9"/>
    <n v="1.61788617886178"/>
    <n v="4569.0977783557"/>
  </r>
  <r>
    <s v="953f8b9a-36ea-cfc8-ad6c-34cb12f128fe"/>
    <x v="17"/>
    <x v="37"/>
    <x v="0"/>
    <x v="0"/>
    <x v="3"/>
    <n v="1.11788617886178"/>
    <n v="924.29355912911501"/>
  </r>
  <r>
    <s v="955dafba-d086-3470-cff3-2cc418186564"/>
    <x v="28"/>
    <x v="37"/>
    <x v="0"/>
    <x v="0"/>
    <x v="5"/>
    <n v="0.53252032520325199"/>
    <n v="440.299840894233"/>
  </r>
  <r>
    <s v="956a819a-6b92-0de4-2976-ebb9c79de485"/>
    <x v="2"/>
    <x v="31"/>
    <x v="0"/>
    <x v="0"/>
    <x v="5"/>
    <n v="0.53252032520325199"/>
    <n v="577.23592013141297"/>
  </r>
  <r>
    <s v="958b47ae-fe46-6d1d-776d-9deaf32a5c52"/>
    <x v="13"/>
    <x v="31"/>
    <x v="0"/>
    <x v="0"/>
    <x v="8"/>
    <n v="0.19512195121951201"/>
    <n v="211.506291345861"/>
  </r>
  <r>
    <s v="95a41a16-cd32-d864-f0b7-c72ef74673cb"/>
    <x v="29"/>
    <x v="29"/>
    <x v="0"/>
    <x v="0"/>
    <x v="2"/>
    <n v="1.2073170731707299"/>
    <n v="1118.7975356909401"/>
  </r>
  <r>
    <s v="95cbf45a-c8f2-9755-958a-60ded28885f3"/>
    <x v="15"/>
    <x v="25"/>
    <x v="1"/>
    <x v="0"/>
    <x v="7"/>
    <n v="0.46341463414634099"/>
    <n v="1184.4702025080601"/>
  </r>
  <r>
    <s v="95f5f94b-a820-fde5-920c-65c1fee5e312"/>
    <x v="1"/>
    <x v="9"/>
    <x v="1"/>
    <x v="0"/>
    <x v="5"/>
    <n v="0.53252032520325199"/>
    <n v="1685.5300302227699"/>
  </r>
  <r>
    <s v="9614cb16-7f0c-7685-76f3-8355254a6e5b"/>
    <x v="13"/>
    <x v="9"/>
    <x v="1"/>
    <x v="0"/>
    <x v="2"/>
    <n v="1.2073170731707299"/>
    <n v="3821.3925112684301"/>
  </r>
  <r>
    <s v="9661d00e-7fbc-4fbe-297d-fcbb207a4276"/>
    <x v="49"/>
    <x v="8"/>
    <x v="1"/>
    <x v="0"/>
    <x v="2"/>
    <n v="1.2073170731707299"/>
    <n v="3130.1522717550001"/>
  </r>
  <r>
    <s v="967255ba-981f-bdc5-0312-d562abbaa5af"/>
    <x v="17"/>
    <x v="28"/>
    <x v="0"/>
    <x v="0"/>
    <x v="1"/>
    <n v="0.66666666666666596"/>
    <n v="604.71996721590199"/>
  </r>
  <r>
    <s v="9688cb7a-e379-349f-0b52-e4c7969723e4"/>
    <x v="6"/>
    <x v="41"/>
    <x v="1"/>
    <x v="0"/>
    <x v="1"/>
    <n v="0.66666666666666596"/>
    <n v="1869.3747156565901"/>
  </r>
  <r>
    <s v="96db1f7f-f612-7770-4f2b-8d8c069a4edc"/>
    <x v="10"/>
    <x v="25"/>
    <x v="1"/>
    <x v="0"/>
    <x v="3"/>
    <n v="1.11788617886178"/>
    <n v="2857.2746113132998"/>
  </r>
  <r>
    <s v="96f0c4d0-b608-08bb-64e5-3d7f5d9dae92"/>
    <x v="1"/>
    <x v="4"/>
    <x v="1"/>
    <x v="1"/>
    <x v="6"/>
    <n v="1.1341463414634101"/>
    <n v="3827.73753174176"/>
  </r>
  <r>
    <s v="97453b48-0ed4-1d4a-44cc-7f25460e2962"/>
    <x v="7"/>
    <x v="27"/>
    <x v="0"/>
    <x v="0"/>
    <x v="3"/>
    <n v="1.11788617886178"/>
    <n v="1203.1502979690799"/>
  </r>
  <r>
    <s v="974ee17e-e8de-5c7a-3dca-513eb23fddd3"/>
    <x v="28"/>
    <x v="30"/>
    <x v="0"/>
    <x v="0"/>
    <x v="0"/>
    <n v="1.1544715447154399"/>
    <n v="934.35299464799596"/>
  </r>
  <r>
    <s v="97554d8b-ca46-823a-5fc0-daa78d08eb0e"/>
    <x v="27"/>
    <x v="13"/>
    <x v="1"/>
    <x v="0"/>
    <x v="7"/>
    <n v="0.46341463414634099"/>
    <n v="1143.00945083072"/>
  </r>
  <r>
    <s v="9784b355-f18d-7569-26b1-0eecfd98ebe3"/>
    <x v="27"/>
    <x v="13"/>
    <x v="0"/>
    <x v="0"/>
    <x v="0"/>
    <n v="1.1544715447154399"/>
    <n v="989.167619679327"/>
  </r>
  <r>
    <s v="9796e23a-2532-1c11-3b18-98d6bed5d635"/>
    <x v="1"/>
    <x v="26"/>
    <x v="0"/>
    <x v="0"/>
    <x v="4"/>
    <n v="1.70325203252032"/>
    <n v="1794.3890941137299"/>
  </r>
  <r>
    <s v="9798ce16-efc9-2a44-2793-dede4d5448f8"/>
    <x v="42"/>
    <x v="33"/>
    <x v="0"/>
    <x v="0"/>
    <x v="0"/>
    <n v="1.1544715447154399"/>
    <n v="1278.4536396470901"/>
  </r>
  <r>
    <s v="97a3aa7a-e87c-1779-c489-1fe7541fdbe1"/>
    <x v="15"/>
    <x v="26"/>
    <x v="0"/>
    <x v="0"/>
    <x v="8"/>
    <n v="0.19512195121951201"/>
    <n v="205.562473788685"/>
  </r>
  <r>
    <s v="97a74c91-27d9-0e38-d2b7-b5a1b7387491"/>
    <x v="17"/>
    <x v="23"/>
    <x v="0"/>
    <x v="0"/>
    <x v="0"/>
    <n v="1.1544715447154399"/>
    <n v="1062.2299152442199"/>
  </r>
  <r>
    <s v="97bbbfc0-ff73-874f-b652-826d6fb127c0"/>
    <x v="33"/>
    <x v="20"/>
    <x v="0"/>
    <x v="0"/>
    <x v="3"/>
    <n v="1.11788617886178"/>
    <n v="937.56126011267202"/>
  </r>
  <r>
    <s v="97d627b5-aa56-9e14-c028-56015a4e35ee"/>
    <x v="1"/>
    <x v="12"/>
    <x v="1"/>
    <x v="0"/>
    <x v="5"/>
    <n v="0.53252032520325199"/>
    <n v="1592.1265516337101"/>
  </r>
  <r>
    <s v="97e863ef-05dc-4666-92a4-ecc6f6346aa2"/>
    <x v="13"/>
    <x v="29"/>
    <x v="1"/>
    <x v="0"/>
    <x v="5"/>
    <n v="0.53252032520325199"/>
    <n v="1420.5606033726499"/>
  </r>
  <r>
    <s v="97e8a9b9-d9cf-b78d-c569-3dff25bc832b"/>
    <x v="9"/>
    <x v="14"/>
    <x v="0"/>
    <x v="0"/>
    <x v="1"/>
    <n v="0.66666666666666596"/>
    <n v="596.16239978522106"/>
  </r>
  <r>
    <s v="98285c14-38b9-aef9-7042-bbc4b81a2b8d"/>
    <x v="39"/>
    <x v="7"/>
    <x v="0"/>
    <x v="0"/>
    <x v="7"/>
    <n v="0.46341463414634099"/>
    <n v="495.218860801782"/>
  </r>
  <r>
    <s v="9847654e-8995-e37e-18e1-04b4fd76e054"/>
    <x v="2"/>
    <x v="42"/>
    <x v="1"/>
    <x v="0"/>
    <x v="7"/>
    <n v="0.46341463414634099"/>
    <n v="1290.2162395528201"/>
  </r>
  <r>
    <s v="987c1037-fa59-d63a-fa79-28064a7562df"/>
    <x v="34"/>
    <x v="15"/>
    <x v="1"/>
    <x v="0"/>
    <x v="8"/>
    <n v="0.19512195121951201"/>
    <n v="566.98043403807299"/>
  </r>
  <r>
    <s v="9887f878-6161-1e4f-0783-036f0c92451a"/>
    <x v="0"/>
    <x v="0"/>
    <x v="1"/>
    <x v="0"/>
    <x v="3"/>
    <n v="1.11788617886178"/>
    <n v="2816.8404905964799"/>
  </r>
  <r>
    <s v="98b5f2a2-1869-1bc8-ed4c-53350290fbb6"/>
    <x v="28"/>
    <x v="25"/>
    <x v="1"/>
    <x v="0"/>
    <x v="1"/>
    <n v="0.66666666666666596"/>
    <n v="1703.9746772922899"/>
  </r>
  <r>
    <s v="98bf0fa4-0f9a-75f3-c2e3-830d717bd415"/>
    <x v="0"/>
    <x v="16"/>
    <x v="1"/>
    <x v="0"/>
    <x v="4"/>
    <n v="1.70325203252032"/>
    <n v="4231.1055224210604"/>
  </r>
  <r>
    <s v="98e9e6f0-6a1e-cf00-49b5-16bc1e50d5bd"/>
    <x v="23"/>
    <x v="22"/>
    <x v="1"/>
    <x v="0"/>
    <x v="7"/>
    <n v="0.46341463414634099"/>
    <n v="1245.05399317052"/>
  </r>
  <r>
    <s v="98f99078-3fbe-a6d8-f130-d865276c3ecc"/>
    <x v="1"/>
    <x v="47"/>
    <x v="1"/>
    <x v="0"/>
    <x v="5"/>
    <n v="0.53252032520325199"/>
    <n v="1258.4822182175401"/>
  </r>
  <r>
    <s v="990f80ad-ca9b-7667-9195-673c675e4bfd"/>
    <x v="14"/>
    <x v="9"/>
    <x v="0"/>
    <x v="0"/>
    <x v="0"/>
    <n v="1.1544715447154399"/>
    <n v="1269.3755245556199"/>
  </r>
  <r>
    <s v="993ed425-9806-cd8c-1365-cf5a1b8a3194"/>
    <x v="36"/>
    <x v="13"/>
    <x v="1"/>
    <x v="0"/>
    <x v="0"/>
    <n v="1.1544715447154399"/>
    <n v="2847.4972283853199"/>
  </r>
  <r>
    <s v="994f0a5d-2ce6-ba48-7131-933f0e7688d4"/>
    <x v="9"/>
    <x v="1"/>
    <x v="1"/>
    <x v="0"/>
    <x v="1"/>
    <n v="0.66666666666666596"/>
    <n v="1691.87499862293"/>
  </r>
  <r>
    <s v="99ac9807-a44c-b70a-98ae-be2a7f8f9b3e"/>
    <x v="6"/>
    <x v="28"/>
    <x v="1"/>
    <x v="0"/>
    <x v="3"/>
    <n v="1.11788617886178"/>
    <n v="2919.0166572155799"/>
  </r>
  <r>
    <s v="99b575b1-c113-dc04-de82-565563e0c82a"/>
    <x v="6"/>
    <x v="5"/>
    <x v="1"/>
    <x v="0"/>
    <x v="3"/>
    <n v="1.11788617886178"/>
    <n v="3318.5175561605802"/>
  </r>
  <r>
    <s v="99d4b3c6-ba7a-1ee4-81c1-00c3dad0caaf"/>
    <x v="8"/>
    <x v="44"/>
    <x v="0"/>
    <x v="0"/>
    <x v="6"/>
    <n v="1.1341463414634101"/>
    <n v="924.46762941791997"/>
  </r>
  <r>
    <s v="99e40c0e-fd71-04ea-09f7-2799bd3cb8b0"/>
    <x v="6"/>
    <x v="0"/>
    <x v="0"/>
    <x v="0"/>
    <x v="9"/>
    <n v="1.61788617886178"/>
    <n v="1416.1824705429001"/>
  </r>
  <r>
    <s v="99f6b09c-4f78-34d0-9c34-0931af50c3f0"/>
    <x v="26"/>
    <x v="24"/>
    <x v="1"/>
    <x v="0"/>
    <x v="7"/>
    <n v="0.46341463414634099"/>
    <n v="1056.83289046666"/>
  </r>
  <r>
    <s v="99fd9185-eb89-90fa-af63-46e2bce32bb1"/>
    <x v="27"/>
    <x v="1"/>
    <x v="1"/>
    <x v="0"/>
    <x v="3"/>
    <n v="1.11788617886178"/>
    <n v="2836.9855159835802"/>
  </r>
  <r>
    <s v="9a16a0dd-757d-4c0d-3844-4b1641510032"/>
    <x v="21"/>
    <x v="44"/>
    <x v="1"/>
    <x v="0"/>
    <x v="5"/>
    <n v="0.53252032520325199"/>
    <n v="1249.5459173121001"/>
  </r>
  <r>
    <s v="9a2cc3d6-d7ed-1524-0a44-d0398ea708e5"/>
    <x v="2"/>
    <x v="17"/>
    <x v="0"/>
    <x v="0"/>
    <x v="1"/>
    <n v="0.66666666666666596"/>
    <n v="635.650443833753"/>
  </r>
  <r>
    <s v="9a7e923e-ab42-d588-e7a9-5383f7d00c7c"/>
    <x v="5"/>
    <x v="2"/>
    <x v="0"/>
    <x v="0"/>
    <x v="4"/>
    <n v="1.70325203252032"/>
    <n v="1449.0077575687101"/>
  </r>
  <r>
    <s v="9ac442f5-af14-ec6f-2874-437b7d1982ee"/>
    <x v="29"/>
    <x v="20"/>
    <x v="0"/>
    <x v="0"/>
    <x v="6"/>
    <n v="1.1341463414634101"/>
    <n v="951.19851480522004"/>
  </r>
  <r>
    <s v="9ad4dd6f-2e8d-0cd1-ed5f-7c2180eb9479"/>
    <x v="12"/>
    <x v="37"/>
    <x v="0"/>
    <x v="0"/>
    <x v="2"/>
    <n v="1.2073170731707299"/>
    <n v="998.23704385944495"/>
  </r>
  <r>
    <s v="9af61ea4-1689-fa94-d014-d4e511c9db3f"/>
    <x v="22"/>
    <x v="47"/>
    <x v="1"/>
    <x v="0"/>
    <x v="8"/>
    <n v="0.19512195121951201"/>
    <n v="461.12325553009299"/>
  </r>
  <r>
    <s v="9afcd108-8da3-66e5-0d8c-d580e46ef248"/>
    <x v="31"/>
    <x v="8"/>
    <x v="1"/>
    <x v="0"/>
    <x v="4"/>
    <n v="1.70325203252032"/>
    <n v="4415.9387268193504"/>
  </r>
  <r>
    <s v="9b60efa8-e70e-a8ac-036f-97b77556f068"/>
    <x v="1"/>
    <x v="24"/>
    <x v="0"/>
    <x v="0"/>
    <x v="2"/>
    <n v="1.2073170731707299"/>
    <n v="956.45490806008399"/>
  </r>
  <r>
    <s v="9baf31e0-c2f8-8c63-0722-8dd022acc306"/>
    <x v="33"/>
    <x v="18"/>
    <x v="0"/>
    <x v="0"/>
    <x v="0"/>
    <n v="1.1544715447154399"/>
    <n v="1224.9427787613799"/>
  </r>
  <r>
    <s v="9bafc4b5-9eef-b0e2-cf3e-aac8205cb822"/>
    <x v="48"/>
    <x v="14"/>
    <x v="0"/>
    <x v="0"/>
    <x v="8"/>
    <n v="0.19512195121951201"/>
    <n v="174.48655603469899"/>
  </r>
  <r>
    <s v="9bda120b-859a-19e5-332f-5ed7fcad6108"/>
    <x v="1"/>
    <x v="8"/>
    <x v="0"/>
    <x v="0"/>
    <x v="7"/>
    <n v="0.46341463414634099"/>
    <n v="417.36924948712903"/>
  </r>
  <r>
    <s v="9be5c170-993f-cd66-85e1-9e425bedaeae"/>
    <x v="16"/>
    <x v="13"/>
    <x v="0"/>
    <x v="0"/>
    <x v="5"/>
    <n v="0.53252032520325199"/>
    <n v="456.27097949997102"/>
  </r>
  <r>
    <s v="9c668dae-0cbc-6053-acf3-2012085725ee"/>
    <x v="3"/>
    <x v="19"/>
    <x v="0"/>
    <x v="0"/>
    <x v="8"/>
    <n v="0.19512195121951201"/>
    <n v="199.78569129665101"/>
  </r>
  <r>
    <s v="9c6b3e49-6438-6dbb-69c6-9d7b92c964ff"/>
    <x v="21"/>
    <x v="19"/>
    <x v="1"/>
    <x v="0"/>
    <x v="9"/>
    <n v="1.61788617886178"/>
    <n v="4768.69596353624"/>
  </r>
  <r>
    <s v="9c8cb282-5238-61b8-285e-8caa022e7b85"/>
    <x v="1"/>
    <x v="35"/>
    <x v="1"/>
    <x v="0"/>
    <x v="2"/>
    <n v="1.2073170731707299"/>
    <n v="3175.0838023974802"/>
  </r>
  <r>
    <s v="9c8d6536-462c-8f6d-4302-960a9cdb1406"/>
    <x v="1"/>
    <x v="3"/>
    <x v="1"/>
    <x v="0"/>
    <x v="7"/>
    <n v="0.46341463414634099"/>
    <n v="1395.4234096300299"/>
  </r>
  <r>
    <s v="9cbb712a-19c3-df1a-53cc-ec99db35a2a5"/>
    <x v="15"/>
    <x v="16"/>
    <x v="1"/>
    <x v="0"/>
    <x v="9"/>
    <n v="1.61788617886178"/>
    <n v="4019.0453411064"/>
  </r>
  <r>
    <s v="9ce3836a-9411-71ca-3166-4f780374a42c"/>
    <x v="28"/>
    <x v="35"/>
    <x v="1"/>
    <x v="0"/>
    <x v="0"/>
    <n v="1.1544715447154399"/>
    <n v="3036.10707030601"/>
  </r>
  <r>
    <s v="9ce3f9f3-19ec-01d6-c0a0-a6e16293f63f"/>
    <x v="17"/>
    <x v="0"/>
    <x v="1"/>
    <x v="0"/>
    <x v="9"/>
    <n v="1.61788617886178"/>
    <n v="4076.7364191178099"/>
  </r>
  <r>
    <s v="9d1efb80-4ca5-3a2e-533b-0cfc6c6763a4"/>
    <x v="40"/>
    <x v="39"/>
    <x v="1"/>
    <x v="0"/>
    <x v="6"/>
    <n v="1.1341463414634101"/>
    <n v="3225.8669191171698"/>
  </r>
  <r>
    <s v="9d29614e-9665-f936-2978-5f227a769983"/>
    <x v="4"/>
    <x v="43"/>
    <x v="1"/>
    <x v="0"/>
    <x v="6"/>
    <n v="1.1341463414634101"/>
    <n v="2623.58657609383"/>
  </r>
  <r>
    <s v="9d70910e-0891-5009-83e4-5ba08aaf8203"/>
    <x v="34"/>
    <x v="42"/>
    <x v="1"/>
    <x v="0"/>
    <x v="1"/>
    <n v="0.66666666666666596"/>
    <n v="1856.1005551461701"/>
  </r>
  <r>
    <s v="9d7ed1f4-5f96-e38b-ccf4-ba564f601158"/>
    <x v="1"/>
    <x v="28"/>
    <x v="0"/>
    <x v="0"/>
    <x v="4"/>
    <n v="1.70325203252032"/>
    <n v="1544.98576989916"/>
  </r>
  <r>
    <s v="9dc81f1b-32c7-73bf-ab5b-e23ae9e4dde5"/>
    <x v="32"/>
    <x v="32"/>
    <x v="1"/>
    <x v="0"/>
    <x v="4"/>
    <n v="1.70325203252032"/>
    <n v="4261.3648603030697"/>
  </r>
  <r>
    <s v="9ddfc70f-c92b-d5e6-e233-04dae39d9f4c"/>
    <x v="17"/>
    <x v="5"/>
    <x v="0"/>
    <x v="0"/>
    <x v="7"/>
    <n v="0.46341463414634099"/>
    <n v="477.88440513530702"/>
  </r>
  <r>
    <s v="9df928e1-060b-0ddc-74cb-1875afffc47e"/>
    <x v="6"/>
    <x v="4"/>
    <x v="0"/>
    <x v="0"/>
    <x v="0"/>
    <n v="1.1544715447154399"/>
    <n v="1260.3618718514099"/>
  </r>
  <r>
    <s v="9e0004bc-24f7-8f1f-8a74-7b89f026afbe"/>
    <x v="22"/>
    <x v="44"/>
    <x v="1"/>
    <x v="0"/>
    <x v="3"/>
    <n v="1.11788617886178"/>
    <n v="2623.0925745101399"/>
  </r>
  <r>
    <s v="9e0628c6-e1bb-e98a-7013-d22f6bef6900"/>
    <x v="17"/>
    <x v="43"/>
    <x v="0"/>
    <x v="0"/>
    <x v="6"/>
    <n v="1.1341463414634101"/>
    <n v="911.38522019527102"/>
  </r>
  <r>
    <s v="9e224d07-7e58-9006-d600-2e5bf2783c0c"/>
    <x v="31"/>
    <x v="29"/>
    <x v="1"/>
    <x v="0"/>
    <x v="7"/>
    <n v="0.46341463414634099"/>
    <n v="1236.21304415635"/>
  </r>
  <r>
    <s v="9e29d941-439c-574a-07bc-8969050884ec"/>
    <x v="10"/>
    <x v="33"/>
    <x v="0"/>
    <x v="0"/>
    <x v="3"/>
    <n v="1.11788617886178"/>
    <n v="1237.93926374278"/>
  </r>
  <r>
    <s v="9e51127c-ead1-2676-35e6-206f7b70a3b2"/>
    <x v="15"/>
    <x v="11"/>
    <x v="1"/>
    <x v="0"/>
    <x v="4"/>
    <n v="1.70325203252032"/>
    <n v="3912.1036802275198"/>
  </r>
  <r>
    <s v="9e71f237-940f-49be-5b92-512ffd217c7a"/>
    <x v="38"/>
    <x v="18"/>
    <x v="0"/>
    <x v="0"/>
    <x v="1"/>
    <n v="0.66666666666666596"/>
    <n v="707.36132294671597"/>
  </r>
  <r>
    <s v="9e7380ed-c376-4ce5-ba94-52f19b4deccb"/>
    <x v="1"/>
    <x v="31"/>
    <x v="1"/>
    <x v="0"/>
    <x v="9"/>
    <n v="1.61788617886178"/>
    <n v="5048.4556289163802"/>
  </r>
  <r>
    <s v="9ea59716-2e01-f32c-98f8-dfd1d08026c0"/>
    <x v="1"/>
    <x v="45"/>
    <x v="1"/>
    <x v="0"/>
    <x v="6"/>
    <n v="1.1341463414634101"/>
    <n v="3319.14252568861"/>
  </r>
  <r>
    <s v="9eb98a30-15e0-46b6-32a6-fef4947cc1e7"/>
    <x v="6"/>
    <x v="36"/>
    <x v="1"/>
    <x v="0"/>
    <x v="7"/>
    <n v="0.46341463414634099"/>
    <n v="1308.7365495792701"/>
  </r>
  <r>
    <s v="9efbb730-e754-10ab-0a08-d688f1ff2a1a"/>
    <x v="17"/>
    <x v="2"/>
    <x v="1"/>
    <x v="0"/>
    <x v="8"/>
    <n v="0.19512195121951201"/>
    <n v="477.84972859318401"/>
  </r>
  <r>
    <s v="9f38288a-0316-a7f0-6c85-aba11a790e70"/>
    <x v="21"/>
    <x v="18"/>
    <x v="0"/>
    <x v="0"/>
    <x v="3"/>
    <n v="1.11788617886178"/>
    <n v="1186.1241695752799"/>
  </r>
  <r>
    <s v="9f6debda-d942-2fc6-d4de-91dcb24b8b9a"/>
    <x v="11"/>
    <x v="42"/>
    <x v="0"/>
    <x v="0"/>
    <x v="9"/>
    <n v="1.61788617886178"/>
    <n v="1564.7584516254201"/>
  </r>
  <r>
    <s v="9f6f1923-ab82-f7f2-8b10-d766ec68150d"/>
    <x v="17"/>
    <x v="18"/>
    <x v="1"/>
    <x v="1"/>
    <x v="6"/>
    <n v="1.1341463414634101"/>
    <n v="3720.16922537764"/>
  </r>
  <r>
    <s v="9f839da2-1947-4347-a715-3ede4d6d891f"/>
    <x v="2"/>
    <x v="6"/>
    <x v="0"/>
    <x v="0"/>
    <x v="4"/>
    <n v="1.70325203252032"/>
    <n v="1635.6236938324701"/>
  </r>
  <r>
    <s v="9f8ed35c-c822-a782-ba2b-bb354b933137"/>
    <x v="6"/>
    <x v="32"/>
    <x v="0"/>
    <x v="0"/>
    <x v="0"/>
    <n v="1.1544715447154399"/>
    <n v="1003.3665503879701"/>
  </r>
  <r>
    <s v="9f993e19-9ac0-bc82-0241-8ac90dd8cc8a"/>
    <x v="3"/>
    <x v="43"/>
    <x v="1"/>
    <x v="0"/>
    <x v="3"/>
    <n v="1.11788617886178"/>
    <n v="2585.9724316337001"/>
  </r>
  <r>
    <s v="9f9e53f7-e3e8-d52c-d251-94b2907e0f8d"/>
    <x v="35"/>
    <x v="5"/>
    <x v="1"/>
    <x v="0"/>
    <x v="4"/>
    <n v="1.70325203252032"/>
    <n v="5056.2140219319399"/>
  </r>
  <r>
    <s v="9fa73cef-fc15-4477-6a46-3de54df4350f"/>
    <x v="6"/>
    <x v="12"/>
    <x v="0"/>
    <x v="0"/>
    <x v="6"/>
    <n v="1.1341463414634101"/>
    <n v="1177.9234668608899"/>
  </r>
  <r>
    <s v="9faeb44b-d82a-b837-c8a6-4878e6205633"/>
    <x v="38"/>
    <x v="33"/>
    <x v="1"/>
    <x v="0"/>
    <x v="3"/>
    <n v="1.11788617886178"/>
    <n v="3563.6312312363102"/>
  </r>
  <r>
    <s v="9fc3958e-d8cb-9cc9-b217-4ac824d27ef6"/>
    <x v="41"/>
    <x v="15"/>
    <x v="0"/>
    <x v="0"/>
    <x v="9"/>
    <n v="1.61788617886178"/>
    <n v="1633.11394812406"/>
  </r>
  <r>
    <s v="9fe5db25-bfd9-a421-498b-4787d1748b92"/>
    <x v="21"/>
    <x v="17"/>
    <x v="1"/>
    <x v="0"/>
    <x v="6"/>
    <n v="1.1341463414634101"/>
    <n v="3112.9498807700302"/>
  </r>
  <r>
    <s v="a001ec4e-2077-a68b-c9e7-62007889eca5"/>
    <x v="4"/>
    <x v="7"/>
    <x v="1"/>
    <x v="0"/>
    <x v="2"/>
    <n v="1.2073170731707299"/>
    <n v="3714.0025147023298"/>
  </r>
  <r>
    <s v="a0263df3-efdb-1e0b-96c7-c9f60fa915bc"/>
    <x v="2"/>
    <x v="12"/>
    <x v="1"/>
    <x v="0"/>
    <x v="7"/>
    <n v="0.46341463414634099"/>
    <n v="1385.51470905529"/>
  </r>
  <r>
    <s v="a02da18e-62f8-fba7-a63d-45d9b5619620"/>
    <x v="22"/>
    <x v="25"/>
    <x v="0"/>
    <x v="0"/>
    <x v="9"/>
    <n v="1.61788617886178"/>
    <n v="1436.5109531680801"/>
  </r>
  <r>
    <s v="a041f68c-6e51-688b-2d34-1fb78fa5f496"/>
    <x v="34"/>
    <x v="32"/>
    <x v="0"/>
    <x v="0"/>
    <x v="3"/>
    <n v="1.11788617886178"/>
    <n v="971.56972308694696"/>
  </r>
  <r>
    <s v="a0707004-e90b-f52e-ec01-2ab9510ddb6b"/>
    <x v="21"/>
    <x v="27"/>
    <x v="1"/>
    <x v="1"/>
    <x v="0"/>
    <n v="1.1544715447154399"/>
    <n v="3841.1968135797601"/>
  </r>
  <r>
    <s v="a0acfdea-74c4-2208-f990-e7f8d85d495a"/>
    <x v="28"/>
    <x v="12"/>
    <x v="0"/>
    <x v="0"/>
    <x v="4"/>
    <n v="1.70325203252032"/>
    <n v="1768.9961742462799"/>
  </r>
  <r>
    <s v="a0e07d79-2cf2-efb1-3b7d-ceab653c91c5"/>
    <x v="7"/>
    <x v="38"/>
    <x v="1"/>
    <x v="0"/>
    <x v="8"/>
    <n v="0.19512195121951201"/>
    <n v="527.982387140024"/>
  </r>
  <r>
    <s v="a147b5f6-68be-ea21-e481-fe536b8b6a34"/>
    <x v="50"/>
    <x v="41"/>
    <x v="1"/>
    <x v="0"/>
    <x v="4"/>
    <n v="1.70325203252032"/>
    <n v="4776.0244259762903"/>
  </r>
  <r>
    <s v="a16e1f98-5fd4-4a52-7c5b-f843a26ac776"/>
    <x v="17"/>
    <x v="4"/>
    <x v="0"/>
    <x v="0"/>
    <x v="3"/>
    <n v="1.11788617886178"/>
    <n v="1220.42082661668"/>
  </r>
  <r>
    <s v="a18dfe23-d261-01ef-4766-348df3325195"/>
    <x v="14"/>
    <x v="41"/>
    <x v="1"/>
    <x v="0"/>
    <x v="4"/>
    <n v="1.70325203252032"/>
    <n v="4776.0244259762903"/>
  </r>
  <r>
    <s v="a1ad0f29-8482-5a28-2082-d5ec3e3b1924"/>
    <x v="43"/>
    <x v="8"/>
    <x v="1"/>
    <x v="0"/>
    <x v="7"/>
    <n v="0.46341463414634099"/>
    <n v="1201.4725891584801"/>
  </r>
  <r>
    <s v="a1db21d3-1e8b-9e87-e321-8d020cec131f"/>
    <x v="21"/>
    <x v="29"/>
    <x v="1"/>
    <x v="0"/>
    <x v="6"/>
    <n v="1.1341463414634101"/>
    <n v="3025.4687659616102"/>
  </r>
  <r>
    <s v="a210ffd7-0c0f-81ca-456b-ada670b1e029"/>
    <x v="17"/>
    <x v="30"/>
    <x v="1"/>
    <x v="0"/>
    <x v="8"/>
    <n v="0.19512195121951201"/>
    <n v="454.597766763415"/>
  </r>
  <r>
    <s v="a26c6319-84aa-ac23-3cc7-b5d0dbbf3ec6"/>
    <x v="6"/>
    <x v="16"/>
    <x v="0"/>
    <x v="0"/>
    <x v="5"/>
    <n v="0.53252032520325199"/>
    <n v="459.53406468215002"/>
  </r>
  <r>
    <s v="a26ed715-c192-99ee-0196-bbb926e0e55b"/>
    <x v="4"/>
    <x v="0"/>
    <x v="1"/>
    <x v="0"/>
    <x v="3"/>
    <n v="1.11788617886178"/>
    <n v="2816.8404905964799"/>
  </r>
  <r>
    <s v="a28b3074-e947-995a-e6c9-c5cfad92651a"/>
    <x v="6"/>
    <x v="37"/>
    <x v="1"/>
    <x v="0"/>
    <x v="1"/>
    <n v="0.66666666666666596"/>
    <n v="1586.77189499369"/>
  </r>
  <r>
    <s v="a299d66d-3bd9-2123-7a93-ea031203c42d"/>
    <x v="1"/>
    <x v="8"/>
    <x v="1"/>
    <x v="0"/>
    <x v="5"/>
    <n v="0.53252032520325199"/>
    <n v="1380.6395542084299"/>
  </r>
  <r>
    <s v="a2acf624-3f33-84a0-19e6-58dff937bac3"/>
    <x v="38"/>
    <x v="38"/>
    <x v="0"/>
    <x v="0"/>
    <x v="4"/>
    <n v="1.70325203252032"/>
    <n v="1601.0275386739099"/>
  </r>
  <r>
    <s v="a2b8d71d-0a47-c1a7-ddb0-71bc1c983329"/>
    <x v="9"/>
    <x v="46"/>
    <x v="1"/>
    <x v="0"/>
    <x v="3"/>
    <n v="1.11788617886178"/>
    <n v="2679.7742464432699"/>
  </r>
  <r>
    <s v="a3159fc3-5bd4-a8e2-7104-dd2e01b140c6"/>
    <x v="17"/>
    <x v="25"/>
    <x v="1"/>
    <x v="0"/>
    <x v="2"/>
    <n v="1.2073170731707299"/>
    <n v="3085.8565802183698"/>
  </r>
  <r>
    <s v="a33efebc-4603-22a5-fd60-b680bbf76b69"/>
    <x v="12"/>
    <x v="9"/>
    <x v="0"/>
    <x v="0"/>
    <x v="1"/>
    <n v="0.66666666666666596"/>
    <n v="733.01966910958595"/>
  </r>
  <r>
    <s v="a35e3b8d-f5e1-b281-2bba-2dadfe28d00f"/>
    <x v="2"/>
    <x v="20"/>
    <x v="0"/>
    <x v="0"/>
    <x v="8"/>
    <n v="0.19512195121951201"/>
    <n v="163.64705631057501"/>
  </r>
  <r>
    <s v="a375e7c2-360b-390b-915a-dc08630eb217"/>
    <x v="8"/>
    <x v="42"/>
    <x v="1"/>
    <x v="0"/>
    <x v="0"/>
    <n v="1.1544715447154399"/>
    <n v="3214.2229125702002"/>
  </r>
  <r>
    <s v="a38fb15b-2a41-1531-f0a6-4b0cca231109"/>
    <x v="15"/>
    <x v="4"/>
    <x v="1"/>
    <x v="0"/>
    <x v="2"/>
    <n v="1.2073170731707299"/>
    <n v="3794.2573536443001"/>
  </r>
  <r>
    <s v="a392177b-cd3e-4cae-8397-cb1f4950829b"/>
    <x v="1"/>
    <x v="43"/>
    <x v="1"/>
    <x v="0"/>
    <x v="5"/>
    <n v="0.53252032520325199"/>
    <n v="1231.8632310691401"/>
  </r>
  <r>
    <s v="a3a8beef-67eb-65c5-1750-0d03d6e49c0b"/>
    <x v="15"/>
    <x v="7"/>
    <x v="1"/>
    <x v="0"/>
    <x v="6"/>
    <n v="1.1341463414634101"/>
    <n v="3488.9114532052199"/>
  </r>
  <r>
    <s v="a3e79368-9dad-1673-9815-911e369a132a"/>
    <x v="17"/>
    <x v="35"/>
    <x v="1"/>
    <x v="0"/>
    <x v="7"/>
    <n v="0.46341463414634099"/>
    <n v="1218.7190352636801"/>
  </r>
  <r>
    <s v="a3e84f76-2e93-a1b3-bf8f-da5a2a404533"/>
    <x v="6"/>
    <x v="23"/>
    <x v="0"/>
    <x v="0"/>
    <x v="0"/>
    <n v="1.1544715447154399"/>
    <n v="1062.2299152442199"/>
  </r>
  <r>
    <s v="a4015d21-1987-bff4-3582-47db3031ffb3"/>
    <x v="30"/>
    <x v="0"/>
    <x v="1"/>
    <x v="0"/>
    <x v="2"/>
    <n v="1.2073170731707299"/>
    <n v="3042.1877298442"/>
  </r>
  <r>
    <s v="a428f9ce-20b3-b350-2d66-155dc934acbb"/>
    <x v="13"/>
    <x v="46"/>
    <x v="1"/>
    <x v="0"/>
    <x v="6"/>
    <n v="1.1341463414634101"/>
    <n v="2718.7527809369899"/>
  </r>
  <r>
    <s v="a43b7108-b619-2aa6-96dd-e9dbb6ed8bbb"/>
    <x v="13"/>
    <x v="11"/>
    <x v="0"/>
    <x v="0"/>
    <x v="6"/>
    <n v="1.1341463414634101"/>
    <n v="904.91360506194599"/>
  </r>
  <r>
    <s v="a4471ed9-99b2-ca37-dfd5-3433be1b1aa2"/>
    <x v="15"/>
    <x v="40"/>
    <x v="0"/>
    <x v="0"/>
    <x v="3"/>
    <n v="1.11788617886178"/>
    <n v="1112.4394519611001"/>
  </r>
  <r>
    <s v="a470e1b2-9cd1-c816-bf04-4a9d24360044"/>
    <x v="1"/>
    <x v="10"/>
    <x v="0"/>
    <x v="0"/>
    <x v="2"/>
    <n v="1.2073170731707299"/>
    <n v="1019.8076682367"/>
  </r>
  <r>
    <s v="a4797601-979c-1cbf-bfab-1e6308da323d"/>
    <x v="1"/>
    <x v="26"/>
    <x v="0"/>
    <x v="0"/>
    <x v="8"/>
    <n v="0.19512195121951201"/>
    <n v="205.562473788685"/>
  </r>
  <r>
    <s v="a4b76cd9-1079-3bd0-fd63-010ca062b213"/>
    <x v="10"/>
    <x v="24"/>
    <x v="1"/>
    <x v="0"/>
    <x v="4"/>
    <n v="1.70325203252032"/>
    <n v="3884.3243956625602"/>
  </r>
  <r>
    <s v="a4fd47c6-d89a-d635-39a4-4ad45871a109"/>
    <x v="6"/>
    <x v="41"/>
    <x v="0"/>
    <x v="0"/>
    <x v="1"/>
    <n v="0.66666666666666596"/>
    <n v="649.38603603955198"/>
  </r>
  <r>
    <s v="a554a4e4-6587-2c02-3141-d71592cc8e46"/>
    <x v="36"/>
    <x v="12"/>
    <x v="1"/>
    <x v="0"/>
    <x v="1"/>
    <n v="0.66666666666666596"/>
    <n v="1993.1965989918299"/>
  </r>
  <r>
    <s v="a59775d0-a0d4-f0b4-f27e-1a34d7babca7"/>
    <x v="13"/>
    <x v="7"/>
    <x v="1"/>
    <x v="1"/>
    <x v="5"/>
    <n v="0.53252032520325199"/>
    <n v="1759.2382208734"/>
  </r>
  <r>
    <s v="a5d3b82a-ed3d-2b33-bf95-7c01fe0c6877"/>
    <x v="3"/>
    <x v="27"/>
    <x v="1"/>
    <x v="0"/>
    <x v="5"/>
    <n v="0.53252032520325199"/>
    <n v="1649.8782732386401"/>
  </r>
  <r>
    <s v="a60c797e-25ec-6c92-1c12-57e9726535b4"/>
    <x v="15"/>
    <x v="16"/>
    <x v="1"/>
    <x v="0"/>
    <x v="1"/>
    <n v="0.66666666666666596"/>
    <n v="1656.08903502877"/>
  </r>
  <r>
    <s v="a62424cb-3fc4-1eea-8c60-79cccff1d230"/>
    <x v="1"/>
    <x v="17"/>
    <x v="1"/>
    <x v="0"/>
    <x v="8"/>
    <n v="0.19512195121951201"/>
    <n v="535.56126980989802"/>
  </r>
  <r>
    <s v="a64ca1d5-ee82-9230-10f6-a575b44c59ea"/>
    <x v="6"/>
    <x v="0"/>
    <x v="1"/>
    <x v="0"/>
    <x v="7"/>
    <n v="0.46341463414634099"/>
    <n v="1167.70842155636"/>
  </r>
  <r>
    <s v="a66a5ce9-83f8-cce4-a6a6-4701bbe10346"/>
    <x v="16"/>
    <x v="19"/>
    <x v="1"/>
    <x v="0"/>
    <x v="9"/>
    <n v="1.61788617886178"/>
    <n v="4768.69596353624"/>
  </r>
  <r>
    <s v="a6e6b91e-066f-4fba-172d-618c8b07241d"/>
    <x v="6"/>
    <x v="3"/>
    <x v="1"/>
    <x v="0"/>
    <x v="4"/>
    <n v="1.70325203252032"/>
    <n v="5128.7930582016197"/>
  </r>
  <r>
    <s v="a6fef476-7bb4-8e4e-4830-49fef7bc7413"/>
    <x v="1"/>
    <x v="31"/>
    <x v="1"/>
    <x v="0"/>
    <x v="7"/>
    <n v="0.46341463414634099"/>
    <n v="1446.04005451373"/>
  </r>
  <r>
    <s v="a747e815-6f06-171c-058e-dee94aa204be"/>
    <x v="19"/>
    <x v="47"/>
    <x v="0"/>
    <x v="0"/>
    <x v="3"/>
    <n v="1.11788617886178"/>
    <n v="917.73028374089404"/>
  </r>
  <r>
    <s v="a7571214-0b1d-700a-a415-8384239135dc"/>
    <x v="12"/>
    <x v="1"/>
    <x v="1"/>
    <x v="0"/>
    <x v="9"/>
    <n v="1.61788617886178"/>
    <n v="4105.8917649507803"/>
  </r>
  <r>
    <s v="a7c995eb-6202-ba9c-ef42-f03125586bbe"/>
    <x v="15"/>
    <x v="4"/>
    <x v="0"/>
    <x v="0"/>
    <x v="9"/>
    <n v="1.61788617886178"/>
    <n v="1766.2817781579699"/>
  </r>
  <r>
    <s v="a7e819ff-7eb6-87e8-3f8f-d4f8b3381783"/>
    <x v="23"/>
    <x v="47"/>
    <x v="1"/>
    <x v="0"/>
    <x v="2"/>
    <n v="1.2073170731707299"/>
    <n v="2853.2001435924499"/>
  </r>
  <r>
    <s v="a81ce085-273a-05f0-0fe3-012f49f6174b"/>
    <x v="30"/>
    <x v="36"/>
    <x v="0"/>
    <x v="0"/>
    <x v="8"/>
    <n v="0.19512195121951201"/>
    <n v="191.423476193661"/>
  </r>
  <r>
    <s v="a82bc4c2-e6eb-a723-b799-1dec9dde8165"/>
    <x v="2"/>
    <x v="39"/>
    <x v="1"/>
    <x v="0"/>
    <x v="8"/>
    <n v="0.19512195121951201"/>
    <n v="554.98785705241698"/>
  </r>
  <r>
    <s v="a82dd537-70f3-004f-2ec0-27f771069069"/>
    <x v="1"/>
    <x v="22"/>
    <x v="1"/>
    <x v="0"/>
    <x v="9"/>
    <n v="1.61788617886178"/>
    <n v="4346.7674498409397"/>
  </r>
  <r>
    <s v="a82efa77-21c9-6975-79f4-da56c6457196"/>
    <x v="9"/>
    <x v="1"/>
    <x v="0"/>
    <x v="0"/>
    <x v="2"/>
    <n v="1.2073170731707299"/>
    <n v="1064.3573298301701"/>
  </r>
  <r>
    <s v="a86f9ceb-2f47-c479-c762-b98007faabb4"/>
    <x v="15"/>
    <x v="16"/>
    <x v="0"/>
    <x v="0"/>
    <x v="4"/>
    <n v="1.70325203252032"/>
    <n v="1469.8074282581699"/>
  </r>
  <r>
    <s v="a8885167-fb13-d709-7118-4ec12708d5bc"/>
    <x v="1"/>
    <x v="28"/>
    <x v="0"/>
    <x v="0"/>
    <x v="9"/>
    <n v="1.61788617886178"/>
    <n v="1467.55211556054"/>
  </r>
  <r>
    <s v="a8b1e773-f0c8-38a1-aef9-a2220109b097"/>
    <x v="1"/>
    <x v="37"/>
    <x v="0"/>
    <x v="0"/>
    <x v="0"/>
    <n v="1.1544715447154399"/>
    <n v="954.54316651879606"/>
  </r>
  <r>
    <s v="a90a99f2-6167-8301-ed1f-584c575a4598"/>
    <x v="15"/>
    <x v="20"/>
    <x v="0"/>
    <x v="0"/>
    <x v="5"/>
    <n v="0.53252032520325199"/>
    <n v="446.62009118094602"/>
  </r>
  <r>
    <s v="a935a481-df65-d69b-9127-5e2cc7f3d2bd"/>
    <x v="36"/>
    <x v="24"/>
    <x v="1"/>
    <x v="0"/>
    <x v="5"/>
    <n v="0.53252032520325199"/>
    <n v="1214.4307776415101"/>
  </r>
  <r>
    <s v="a93d291f-fbe3-9777-2949-953be2e39b6c"/>
    <x v="1"/>
    <x v="46"/>
    <x v="1"/>
    <x v="0"/>
    <x v="7"/>
    <n v="0.46341463414634099"/>
    <n v="1110.8882330710201"/>
  </r>
  <r>
    <s v="a949ccd1-3365-2f0a-4a85-b87eee878b6e"/>
    <x v="1"/>
    <x v="39"/>
    <x v="1"/>
    <x v="0"/>
    <x v="3"/>
    <n v="1.11788617886178"/>
    <n v="3179.6179310294701"/>
  </r>
  <r>
    <s v="a94a42b1-2d7a-ccc1-04ec-7a6e8e5b21ec"/>
    <x v="2"/>
    <x v="21"/>
    <x v="0"/>
    <x v="0"/>
    <x v="5"/>
    <n v="0.53252032520325199"/>
    <n v="533.71553971867399"/>
  </r>
  <r>
    <s v="a99b7922-5ab3-3c08-ca54-c74700379fc5"/>
    <x v="15"/>
    <x v="12"/>
    <x v="1"/>
    <x v="0"/>
    <x v="6"/>
    <n v="1.1341463414634101"/>
    <n v="3390.8649458458499"/>
  </r>
  <r>
    <s v="a9a9dcef-f3e5-a663-0002-5c9ea8cabfc3"/>
    <x v="1"/>
    <x v="7"/>
    <x v="1"/>
    <x v="0"/>
    <x v="7"/>
    <n v="0.46341463414634099"/>
    <n v="1425.5767228150301"/>
  </r>
  <r>
    <s v="aa347c92-1652-b3e5-ef35-a40af430118f"/>
    <x v="14"/>
    <x v="20"/>
    <x v="0"/>
    <x v="0"/>
    <x v="5"/>
    <n v="0.53252032520325199"/>
    <n v="446.62009118094602"/>
  </r>
  <r>
    <s v="aa5fb8e4-a2fa-4521-31f8-3d6373c70785"/>
    <x v="2"/>
    <x v="6"/>
    <x v="1"/>
    <x v="0"/>
    <x v="3"/>
    <n v="1.11788617886178"/>
    <n v="3090.2632893149998"/>
  </r>
  <r>
    <s v="aa665453-11ac-46ed-0617-3d8a4910d3a9"/>
    <x v="6"/>
    <x v="17"/>
    <x v="0"/>
    <x v="0"/>
    <x v="8"/>
    <n v="0.19512195121951201"/>
    <n v="186.04403234158599"/>
  </r>
  <r>
    <s v="aaa87735-c39b-f06d-cfe7-487fa3d2bf8e"/>
    <x v="6"/>
    <x v="31"/>
    <x v="1"/>
    <x v="0"/>
    <x v="8"/>
    <n v="0.19512195121951201"/>
    <n v="608.85897032157402"/>
  </r>
  <r>
    <s v="ab4ddad8-e2d1-b8d3-dddf-97295e08382c"/>
    <x v="32"/>
    <x v="2"/>
    <x v="1"/>
    <x v="0"/>
    <x v="4"/>
    <n v="1.70325203252032"/>
    <n v="4171.2299225113402"/>
  </r>
  <r>
    <s v="ab681e8d-51fc-91f0-6bc0-75c4bfa0cf91"/>
    <x v="2"/>
    <x v="35"/>
    <x v="0"/>
    <x v="0"/>
    <x v="9"/>
    <n v="1.61788617886178"/>
    <n v="1478.0475180242399"/>
  </r>
  <r>
    <s v="ab6d39d2-0dc1-b036-fb05-f231e1f697a2"/>
    <x v="22"/>
    <x v="46"/>
    <x v="1"/>
    <x v="0"/>
    <x v="0"/>
    <n v="1.1544715447154399"/>
    <n v="2767.4759490541401"/>
  </r>
  <r>
    <s v="ab843aee-516c-7c0c-fede-2ec392817c27"/>
    <x v="6"/>
    <x v="24"/>
    <x v="1"/>
    <x v="0"/>
    <x v="8"/>
    <n v="0.19512195121951201"/>
    <n v="444.98226967017399"/>
  </r>
  <r>
    <s v="ac000ae9-5606-7172-ecde-13007d98305a"/>
    <x v="13"/>
    <x v="18"/>
    <x v="1"/>
    <x v="0"/>
    <x v="2"/>
    <n v="1.2073170731707299"/>
    <n v="3687.6299179707298"/>
  </r>
  <r>
    <s v="ac0a54bb-143d-8514-ef06-8d5eac6ab741"/>
    <x v="1"/>
    <x v="3"/>
    <x v="1"/>
    <x v="0"/>
    <x v="5"/>
    <n v="0.53252032520325199"/>
    <n v="1603.5128654520599"/>
  </r>
  <r>
    <s v="ac1ea2f2-d784-b61c-028a-2b03ac0368ee"/>
    <x v="14"/>
    <x v="30"/>
    <x v="1"/>
    <x v="0"/>
    <x v="2"/>
    <n v="1.2073170731707299"/>
    <n v="2812.8236818486298"/>
  </r>
  <r>
    <s v="ac20cd44-278b-a904-4084-1e2186088e26"/>
    <x v="28"/>
    <x v="0"/>
    <x v="0"/>
    <x v="0"/>
    <x v="3"/>
    <n v="1.11788617886178"/>
    <n v="978.51803869170703"/>
  </r>
  <r>
    <s v="ac5f58c2-3ed8-b97e-afda-02858410f550"/>
    <x v="17"/>
    <x v="13"/>
    <x v="1"/>
    <x v="0"/>
    <x v="8"/>
    <n v="0.19512195121951201"/>
    <n v="481.26713719188501"/>
  </r>
  <r>
    <s v="aca4f381-f6f1-65a9-14a6-4b887c6ae578"/>
    <x v="6"/>
    <x v="3"/>
    <x v="0"/>
    <x v="0"/>
    <x v="0"/>
    <n v="1.1544715447154399"/>
    <n v="1207.6082586590701"/>
  </r>
  <r>
    <s v="acb0007f-d572-09d4-949c-9a178a8dce8d"/>
    <x v="40"/>
    <x v="3"/>
    <x v="1"/>
    <x v="1"/>
    <x v="3"/>
    <n v="1.11788617886178"/>
    <n v="3614.9430432941899"/>
  </r>
  <r>
    <s v="acd95010-249c-79c3-2181-9ee6bc18f93e"/>
    <x v="38"/>
    <x v="23"/>
    <x v="0"/>
    <x v="0"/>
    <x v="6"/>
    <n v="1.1341463414634101"/>
    <n v="1043.5286843420299"/>
  </r>
  <r>
    <s v="aceb3162-e040-5389-e126-70d8c500869a"/>
    <x v="6"/>
    <x v="17"/>
    <x v="1"/>
    <x v="0"/>
    <x v="6"/>
    <n v="1.1341463414634101"/>
    <n v="3112.9498807700302"/>
  </r>
  <r>
    <s v="acf6b51a-b7c9-1ae2-5aa9-6fad32f40ea4"/>
    <x v="36"/>
    <x v="35"/>
    <x v="1"/>
    <x v="0"/>
    <x v="2"/>
    <n v="1.2073170731707299"/>
    <n v="3175.0838023974802"/>
  </r>
  <r>
    <s v="acf773d9-c900-fb7a-001e-ce5eb0675abf"/>
    <x v="14"/>
    <x v="32"/>
    <x v="1"/>
    <x v="0"/>
    <x v="9"/>
    <n v="1.61788617886178"/>
    <n v="4047.7881011948002"/>
  </r>
  <r>
    <s v="ad0bc432-6226-b8c6-c1ac-2142a10d36f1"/>
    <x v="34"/>
    <x v="30"/>
    <x v="0"/>
    <x v="0"/>
    <x v="7"/>
    <n v="0.46341463414634099"/>
    <n v="375.05718799250502"/>
  </r>
  <r>
    <s v="ad254473-e73b-d12c-d3f6-9bdabe35c731"/>
    <x v="1"/>
    <x v="24"/>
    <x v="0"/>
    <x v="0"/>
    <x v="9"/>
    <n v="1.61788617886178"/>
    <n v="1281.7139845384199"/>
  </r>
  <r>
    <s v="ad8948f0-bda7-3167-36dc-caa1802e644f"/>
    <x v="4"/>
    <x v="10"/>
    <x v="0"/>
    <x v="0"/>
    <x v="4"/>
    <n v="1.70325203252032"/>
    <n v="1438.7185622598599"/>
  </r>
  <r>
    <s v="adaf168a-a5eb-f4d4-3c53-4abda99c65eb"/>
    <x v="30"/>
    <x v="14"/>
    <x v="1"/>
    <x v="0"/>
    <x v="9"/>
    <n v="1.61788617886178"/>
    <n v="4164.8294732904897"/>
  </r>
  <r>
    <s v="adbe43a9-8812-6307-885d-dcd42aef5c30"/>
    <x v="46"/>
    <x v="27"/>
    <x v="0"/>
    <x v="0"/>
    <x v="4"/>
    <n v="1.70325203252032"/>
    <n v="1833.16354490563"/>
  </r>
  <r>
    <s v="addca2dd-2be1-75ce-c1f1-a4cbbd096d18"/>
    <x v="28"/>
    <x v="8"/>
    <x v="0"/>
    <x v="0"/>
    <x v="4"/>
    <n v="1.70325203252032"/>
    <n v="1534.0150485535701"/>
  </r>
  <r>
    <s v="ae3960df-fee6-f568-cdf9-3197e3011c5c"/>
    <x v="23"/>
    <x v="27"/>
    <x v="1"/>
    <x v="0"/>
    <x v="0"/>
    <n v="1.1544715447154399"/>
    <n v="3576.8353404562999"/>
  </r>
  <r>
    <s v="ae6452ff-ea50-0d4a-032c-6a93f91519a3"/>
    <x v="29"/>
    <x v="9"/>
    <x v="1"/>
    <x v="0"/>
    <x v="8"/>
    <n v="0.19512195121951201"/>
    <n v="617.59878969994895"/>
  </r>
  <r>
    <s v="ae80407c-be19-6fea-88b4-58deb3e23627"/>
    <x v="17"/>
    <x v="33"/>
    <x v="1"/>
    <x v="0"/>
    <x v="0"/>
    <n v="1.1544715447154399"/>
    <n v="3680.2591624404099"/>
  </r>
  <r>
    <s v="aef9e05f-b852-0afd-2f9d-54cdaedb9423"/>
    <x v="33"/>
    <x v="27"/>
    <x v="1"/>
    <x v="1"/>
    <x v="4"/>
    <n v="1.70325203252032"/>
    <n v="5667.11783411943"/>
  </r>
  <r>
    <s v="af10eef8-1058-61c6-6e97-a7b8dfb5de13"/>
    <x v="2"/>
    <x v="39"/>
    <x v="1"/>
    <x v="0"/>
    <x v="3"/>
    <n v="1.11788617886178"/>
    <n v="3179.6179310294701"/>
  </r>
  <r>
    <s v="af173e78-beb2-dc55-273d-d5824c948779"/>
    <x v="1"/>
    <x v="26"/>
    <x v="0"/>
    <x v="0"/>
    <x v="6"/>
    <n v="1.1341463414634101"/>
    <n v="1194.8318788967299"/>
  </r>
  <r>
    <s v="af5e1b01-0ee3-6ab2-4145-2a5872e39819"/>
    <x v="3"/>
    <x v="41"/>
    <x v="0"/>
    <x v="0"/>
    <x v="4"/>
    <n v="1.70325203252032"/>
    <n v="1659.10212866202"/>
  </r>
  <r>
    <s v="af8ddaed-6992-978d-2505-4700e1834e9c"/>
    <x v="11"/>
    <x v="24"/>
    <x v="0"/>
    <x v="0"/>
    <x v="0"/>
    <n v="1.1544715447154399"/>
    <n v="914.58987841435601"/>
  </r>
  <r>
    <s v="afb06654-9e98-fd76-cd42-a0de15830c09"/>
    <x v="13"/>
    <x v="21"/>
    <x v="1"/>
    <x v="0"/>
    <x v="3"/>
    <n v="1.11788617886178"/>
    <n v="3225.2595126830402"/>
  </r>
  <r>
    <s v="afb97239-5215-6570-27c6-c70b0ae04684"/>
    <x v="13"/>
    <x v="31"/>
    <x v="0"/>
    <x v="0"/>
    <x v="0"/>
    <n v="1.1544715447154399"/>
    <n v="1251.41222379634"/>
  </r>
  <r>
    <s v="afc39dd6-332e-a8b3-aace-d1067c97bcb8"/>
    <x v="6"/>
    <x v="12"/>
    <x v="0"/>
    <x v="0"/>
    <x v="9"/>
    <n v="1.61788617886178"/>
    <n v="1680.3352681384799"/>
  </r>
  <r>
    <s v="afd0d04d-328f-9e0e-f590-dd3d72419865"/>
    <x v="0"/>
    <x v="34"/>
    <x v="0"/>
    <x v="0"/>
    <x v="5"/>
    <n v="0.53252032520325199"/>
    <n v="504.13974629292801"/>
  </r>
  <r>
    <s v="b02201da-45d1-7faf-c77e-56c1f212600a"/>
    <x v="27"/>
    <x v="21"/>
    <x v="0"/>
    <x v="0"/>
    <x v="2"/>
    <n v="1.2073170731707299"/>
    <n v="1210.02683432401"/>
  </r>
  <r>
    <s v="b029b735-bd54-f7bb-bb6f-faab0eaae56c"/>
    <x v="17"/>
    <x v="5"/>
    <x v="1"/>
    <x v="0"/>
    <x v="7"/>
    <n v="0.46341463414634099"/>
    <n v="1375.6763687356499"/>
  </r>
  <r>
    <s v="b03a3204-d756-af47-1251-6092cf42f32c"/>
    <x v="1"/>
    <x v="0"/>
    <x v="1"/>
    <x v="0"/>
    <x v="0"/>
    <n v="1.1544715447154399"/>
    <n v="2909.0279975614499"/>
  </r>
  <r>
    <s v="b053ef78-1974-5b81-4f4d-732cb8d4040e"/>
    <x v="4"/>
    <x v="40"/>
    <x v="0"/>
    <x v="0"/>
    <x v="7"/>
    <n v="0.46341463414634099"/>
    <n v="461.15671826751299"/>
  </r>
  <r>
    <s v="b057e7e1-484c-96a4-0eca-1eeb59335e33"/>
    <x v="17"/>
    <x v="9"/>
    <x v="1"/>
    <x v="0"/>
    <x v="1"/>
    <n v="0.66666666666666596"/>
    <n v="2110.1291981414902"/>
  </r>
  <r>
    <s v="b09600f2-f40d-edd7-86da-246cc218d92d"/>
    <x v="6"/>
    <x v="1"/>
    <x v="1"/>
    <x v="0"/>
    <x v="0"/>
    <n v="1.1544715447154399"/>
    <n v="2929.8323146885"/>
  </r>
  <r>
    <s v="b0c18f17-19c6-a6a6-efe2-22fd97589206"/>
    <x v="1"/>
    <x v="47"/>
    <x v="1"/>
    <x v="0"/>
    <x v="5"/>
    <n v="0.53252032520325199"/>
    <n v="1258.4822182175401"/>
  </r>
  <r>
    <s v="b0e3a749-67b8-0129-d327-5de0dfad75ea"/>
    <x v="1"/>
    <x v="4"/>
    <x v="0"/>
    <x v="0"/>
    <x v="7"/>
    <n v="0.46341463414634099"/>
    <n v="505.91990630655403"/>
  </r>
  <r>
    <s v="b0f04e58-65b1-c85e-f5d8-16467d8d5f6a"/>
    <x v="2"/>
    <x v="43"/>
    <x v="1"/>
    <x v="0"/>
    <x v="4"/>
    <n v="1.70325203252032"/>
    <n v="3940.0816321982702"/>
  </r>
  <r>
    <s v="b11e942f-887b-88ff-978e-abae4b8d46a5"/>
    <x v="6"/>
    <x v="30"/>
    <x v="1"/>
    <x v="0"/>
    <x v="0"/>
    <n v="1.1544715447154399"/>
    <n v="2689.7034533502001"/>
  </r>
  <r>
    <s v="b1270007-5480-b8f4-8e35-691078663ef5"/>
    <x v="9"/>
    <x v="47"/>
    <x v="0"/>
    <x v="0"/>
    <x v="8"/>
    <n v="0.19512195121951201"/>
    <n v="160.185649525683"/>
  </r>
  <r>
    <s v="b16c0c23-8824-8480-99e2-57558d8e7276"/>
    <x v="6"/>
    <x v="9"/>
    <x v="1"/>
    <x v="1"/>
    <x v="2"/>
    <n v="1.2073170731707299"/>
    <n v="4103.8290389540998"/>
  </r>
  <r>
    <s v="b17aaf46-97d4-dc65-0a51-4f3e820cae8c"/>
    <x v="2"/>
    <x v="17"/>
    <x v="1"/>
    <x v="0"/>
    <x v="5"/>
    <n v="0.53252032520325199"/>
    <n v="1461.63596552284"/>
  </r>
  <r>
    <s v="b198443e-1488-c755-8126-a2225bfe264a"/>
    <x v="27"/>
    <x v="5"/>
    <x v="1"/>
    <x v="0"/>
    <x v="7"/>
    <n v="0.46341463414634099"/>
    <n v="1375.6763687356499"/>
  </r>
  <r>
    <s v="b1b7fb65-7e13-a997-5190-9342accdfa6c"/>
    <x v="1"/>
    <x v="13"/>
    <x v="1"/>
    <x v="0"/>
    <x v="5"/>
    <n v="0.53252032520325199"/>
    <n v="1313.45822858618"/>
  </r>
  <r>
    <s v="b1c096db-d6e8-0862-f3fc-b27c791e6f88"/>
    <x v="13"/>
    <x v="28"/>
    <x v="0"/>
    <x v="0"/>
    <x v="3"/>
    <n v="1.11788617886178"/>
    <n v="1014.01214014861"/>
  </r>
  <r>
    <s v="b1c8c378-b5fe-6924-be64-586613b36cd3"/>
    <x v="6"/>
    <x v="4"/>
    <x v="1"/>
    <x v="0"/>
    <x v="2"/>
    <n v="1.2073170731707299"/>
    <n v="3794.2573536443001"/>
  </r>
  <r>
    <s v="b1caddea-e64e-492a-3028-428f65cf6ef8"/>
    <x v="10"/>
    <x v="42"/>
    <x v="1"/>
    <x v="0"/>
    <x v="4"/>
    <n v="1.70325203252032"/>
    <n v="4742.1105646722299"/>
  </r>
  <r>
    <s v="b2016db6-c383-574c-e946-d4bf644ce366"/>
    <x v="4"/>
    <x v="40"/>
    <x v="1"/>
    <x v="0"/>
    <x v="0"/>
    <n v="1.1544715447154399"/>
    <n v="3307.1618339029501"/>
  </r>
  <r>
    <s v="b20a24ed-0a8c-7ea0-0e1d-9d8aca68f15e"/>
    <x v="41"/>
    <x v="27"/>
    <x v="0"/>
    <x v="0"/>
    <x v="0"/>
    <n v="1.1544715447154399"/>
    <n v="1242.5261259026199"/>
  </r>
  <r>
    <s v="b2622e4a-8ed2-059a-df63-98ad7c54e52d"/>
    <x v="15"/>
    <x v="5"/>
    <x v="0"/>
    <x v="0"/>
    <x v="0"/>
    <n v="1.1544715447154399"/>
    <n v="1190.5190443721599"/>
  </r>
  <r>
    <s v="b2843e81-511a-d254-fbfe-c60d3e2b06e9"/>
    <x v="28"/>
    <x v="1"/>
    <x v="1"/>
    <x v="0"/>
    <x v="2"/>
    <n v="1.2073170731707299"/>
    <n v="3063.9443572622699"/>
  </r>
  <r>
    <s v="b2a70b90-49a6-af76-fd90-2d8f1f0fc068"/>
    <x v="1"/>
    <x v="9"/>
    <x v="1"/>
    <x v="0"/>
    <x v="8"/>
    <n v="0.19512195121951201"/>
    <n v="617.59878969994895"/>
  </r>
  <r>
    <s v="b2b58879-e5bd-9791-2c46-9645c1192036"/>
    <x v="21"/>
    <x v="16"/>
    <x v="0"/>
    <x v="0"/>
    <x v="1"/>
    <n v="0.66666666666666596"/>
    <n v="575.29455425856895"/>
  </r>
  <r>
    <s v="b2be79fd-991b-9a91-4b84-1de88ed8dcee"/>
    <x v="17"/>
    <x v="29"/>
    <x v="0"/>
    <x v="0"/>
    <x v="6"/>
    <n v="1.1341463414634101"/>
    <n v="1050.9916244369499"/>
  </r>
  <r>
    <s v="b2c64530-763d-5c2a-1e0c-ccafee2388e9"/>
    <x v="1"/>
    <x v="22"/>
    <x v="0"/>
    <x v="0"/>
    <x v="9"/>
    <n v="1.61788617886178"/>
    <n v="1509.98623239991"/>
  </r>
  <r>
    <s v="b31c4474-4bc9-8090-6a5f-58dd7d9d5911"/>
    <x v="15"/>
    <x v="34"/>
    <x v="1"/>
    <x v="0"/>
    <x v="7"/>
    <n v="0.46341463414634099"/>
    <n v="1262.92602519607"/>
  </r>
  <r>
    <s v="b32f4b86-e1dc-bfb2-29c1-c6c9dd665bf1"/>
    <x v="21"/>
    <x v="32"/>
    <x v="1"/>
    <x v="0"/>
    <x v="8"/>
    <n v="0.19512195121951201"/>
    <n v="488.17544939032803"/>
  </r>
  <r>
    <s v="b3541f4d-d374-9de6-8149-41078cbb76db"/>
    <x v="12"/>
    <x v="47"/>
    <x v="0"/>
    <x v="0"/>
    <x v="4"/>
    <n v="1.70325203252032"/>
    <n v="1398.2872323179399"/>
  </r>
  <r>
    <s v="b383964c-9a62-d073-de1f-4d9523c39ba3"/>
    <x v="8"/>
    <x v="45"/>
    <x v="0"/>
    <x v="0"/>
    <x v="7"/>
    <n v="0.46341463414634099"/>
    <n v="471.12172448521397"/>
  </r>
  <r>
    <s v="b3b588d9-59a3-9e6a-9e22-8f3203ddcb26"/>
    <x v="28"/>
    <x v="24"/>
    <x v="0"/>
    <x v="0"/>
    <x v="0"/>
    <n v="1.1544715447154399"/>
    <n v="914.58987841435601"/>
  </r>
  <r>
    <s v="b3d18434-e63c-e192-4afb-307bd609f7fb"/>
    <x v="9"/>
    <x v="22"/>
    <x v="0"/>
    <x v="0"/>
    <x v="5"/>
    <n v="0.53252032520325199"/>
    <n v="497.00551870449499"/>
  </r>
  <r>
    <s v="b493463d-b0ab-258b-a5fb-0b99c7ec1f1a"/>
    <x v="4"/>
    <x v="23"/>
    <x v="0"/>
    <x v="0"/>
    <x v="4"/>
    <n v="1.70325203252032"/>
    <n v="1567.1631496032701"/>
  </r>
  <r>
    <s v="b5023c64-a17b-ee23-1114-1c943b868d9a"/>
    <x v="4"/>
    <x v="38"/>
    <x v="0"/>
    <x v="0"/>
    <x v="7"/>
    <n v="0.46341463414634099"/>
    <n v="435.60176469886801"/>
  </r>
  <r>
    <s v="b50b0e30-2f03-a287-f1ba-a6e17db783dd"/>
    <x v="2"/>
    <x v="14"/>
    <x v="1"/>
    <x v="0"/>
    <x v="0"/>
    <n v="1.1544715447154399"/>
    <n v="2971.8883678756301"/>
  </r>
  <r>
    <s v="b5113e1d-2f09-7c16-83d1-811146191741"/>
    <x v="6"/>
    <x v="12"/>
    <x v="0"/>
    <x v="0"/>
    <x v="7"/>
    <n v="0.46341463414634099"/>
    <n v="481.30206172810699"/>
  </r>
  <r>
    <s v="b52b9f22-1921-c857-5937-2d830a1a4a67"/>
    <x v="28"/>
    <x v="45"/>
    <x v="1"/>
    <x v="0"/>
    <x v="5"/>
    <n v="0.53252032520325199"/>
    <n v="1558.4504332086301"/>
  </r>
  <r>
    <s v="b542163f-acf3-a306-bb0f-1aed20f361ae"/>
    <x v="34"/>
    <x v="24"/>
    <x v="0"/>
    <x v="0"/>
    <x v="0"/>
    <n v="1.1544715447154399"/>
    <n v="914.58987841435601"/>
  </r>
  <r>
    <s v="b57a8442-25a6-2172-3323-f2105491bbc4"/>
    <x v="1"/>
    <x v="0"/>
    <x v="0"/>
    <x v="0"/>
    <x v="1"/>
    <n v="0.66666666666666596"/>
    <n v="583.55257580160003"/>
  </r>
  <r>
    <s v="b5806dff-19b7-6fdf-6de9-28c590672138"/>
    <x v="1"/>
    <x v="19"/>
    <x v="0"/>
    <x v="0"/>
    <x v="8"/>
    <n v="0.19512195121951201"/>
    <n v="199.78569129665101"/>
  </r>
  <r>
    <s v="b5a9d346-62bd-51d6-6ab0-1b9598ce13b6"/>
    <x v="30"/>
    <x v="46"/>
    <x v="1"/>
    <x v="0"/>
    <x v="3"/>
    <n v="1.11788617886178"/>
    <n v="2679.7742464432699"/>
  </r>
  <r>
    <s v="b5aa9622-ca33-81da-675c-f9ded552c4f2"/>
    <x v="4"/>
    <x v="24"/>
    <x v="1"/>
    <x v="0"/>
    <x v="9"/>
    <n v="1.61788617886178"/>
    <n v="3689.64465268186"/>
  </r>
  <r>
    <s v="b5efee0d-f687-eaef-8e5c-179898956cf9"/>
    <x v="28"/>
    <x v="29"/>
    <x v="0"/>
    <x v="0"/>
    <x v="2"/>
    <n v="1.2073170731707299"/>
    <n v="1118.7975356909401"/>
  </r>
  <r>
    <s v="b5f3ff6d-d84a-5ab6-6c76-1ac7a35d8126"/>
    <x v="6"/>
    <x v="18"/>
    <x v="0"/>
    <x v="0"/>
    <x v="9"/>
    <n v="1.61788617886178"/>
    <n v="1716.6451617853199"/>
  </r>
  <r>
    <s v="b60cfcda-f99a-127d-e9c9-8bb57cbfa174"/>
    <x v="1"/>
    <x v="14"/>
    <x v="0"/>
    <x v="0"/>
    <x v="4"/>
    <n v="1.70325203252032"/>
    <n v="1523.1222287195601"/>
  </r>
  <r>
    <s v="b61f67a2-39cb-db96-f5af-b85185db21a9"/>
    <x v="1"/>
    <x v="33"/>
    <x v="1"/>
    <x v="0"/>
    <x v="9"/>
    <n v="1.61788617886178"/>
    <n v="5157.5462910256401"/>
  </r>
  <r>
    <s v="b64ab8e9-bec8-5f65-2bc5-1dfee18e0100"/>
    <x v="1"/>
    <x v="22"/>
    <x v="1"/>
    <x v="0"/>
    <x v="0"/>
    <n v="1.1544715447154399"/>
    <n v="3101.7134566704199"/>
  </r>
  <r>
    <s v="b675241a-0310-4794-118f-c9127ab43150"/>
    <x v="14"/>
    <x v="26"/>
    <x v="1"/>
    <x v="0"/>
    <x v="1"/>
    <n v="0.66666666666666596"/>
    <n v="2021.8077866558299"/>
  </r>
  <r>
    <s v="b6758b98-19ad-14ac-3160-61508a0b94f7"/>
    <x v="6"/>
    <x v="7"/>
    <x v="1"/>
    <x v="0"/>
    <x v="3"/>
    <n v="1.11788617886178"/>
    <n v="3438.8912173169701"/>
  </r>
  <r>
    <s v="b6a4fbc7-50a6-aa70-e9b9-2a52b03c224a"/>
    <x v="6"/>
    <x v="39"/>
    <x v="0"/>
    <x v="0"/>
    <x v="8"/>
    <n v="0.19512195121951201"/>
    <n v="192.79246772885099"/>
  </r>
  <r>
    <s v="b6b18961-60c3-a727-0b75-fa51ef54ce2a"/>
    <x v="21"/>
    <x v="8"/>
    <x v="0"/>
    <x v="0"/>
    <x v="8"/>
    <n v="0.19512195121951201"/>
    <n v="175.73442083668601"/>
  </r>
  <r>
    <s v="b6bc9e01-8fb7-5001-40e4-191d27852848"/>
    <x v="18"/>
    <x v="25"/>
    <x v="1"/>
    <x v="0"/>
    <x v="5"/>
    <n v="0.53252032520325199"/>
    <n v="1361.1017239347"/>
  </r>
  <r>
    <s v="b7038c46-4087-3024-4f26-79f3926b529a"/>
    <x v="45"/>
    <x v="28"/>
    <x v="1"/>
    <x v="0"/>
    <x v="2"/>
    <n v="1.2073170731707299"/>
    <n v="3152.5379897928301"/>
  </r>
  <r>
    <s v="b71c1245-4183-226e-a3de-8dcfe4e06631"/>
    <x v="37"/>
    <x v="12"/>
    <x v="0"/>
    <x v="0"/>
    <x v="7"/>
    <n v="0.46341463414634099"/>
    <n v="481.30206172810699"/>
  </r>
  <r>
    <s v="b71c7f2f-b7bc-3792-c613-177b378114c2"/>
    <x v="35"/>
    <x v="31"/>
    <x v="0"/>
    <x v="0"/>
    <x v="1"/>
    <n v="0.66666666666666596"/>
    <n v="722.64649543169298"/>
  </r>
  <r>
    <s v="b731c478-5309-36dd-42de-40281f4e92ee"/>
    <x v="1"/>
    <x v="19"/>
    <x v="0"/>
    <x v="0"/>
    <x v="7"/>
    <n v="0.46341463414634099"/>
    <n v="474.49101682954603"/>
  </r>
  <r>
    <s v="b73ac484-ea61-e461-d03f-63f92ed83d29"/>
    <x v="10"/>
    <x v="1"/>
    <x v="1"/>
    <x v="0"/>
    <x v="3"/>
    <n v="1.11788617886178"/>
    <n v="2836.9855159835802"/>
  </r>
  <r>
    <s v="b7746862-d559-1105-9e5f-e076d3597f7b"/>
    <x v="17"/>
    <x v="14"/>
    <x v="0"/>
    <x v="0"/>
    <x v="9"/>
    <n v="1.61788617886178"/>
    <n v="1446.78436045437"/>
  </r>
  <r>
    <s v="b785b0f2-3118-a9c2-ee9f-6579bbbeaeac"/>
    <x v="6"/>
    <x v="5"/>
    <x v="1"/>
    <x v="0"/>
    <x v="8"/>
    <n v="0.19512195121951201"/>
    <n v="579.23215525711896"/>
  </r>
  <r>
    <s v="b7e4c276-fe6c-ab07-30f8-e59b4ad92087"/>
    <x v="17"/>
    <x v="16"/>
    <x v="1"/>
    <x v="0"/>
    <x v="3"/>
    <n v="1.11788617886178"/>
    <n v="2776.9785648348202"/>
  </r>
  <r>
    <s v="b7e8a6fa-631e-0dfc-362a-b003fc1f847f"/>
    <x v="1"/>
    <x v="8"/>
    <x v="1"/>
    <x v="0"/>
    <x v="9"/>
    <n v="1.61788617886178"/>
    <n v="4194.6148288164704"/>
  </r>
  <r>
    <s v="b7f843a5-3ef5-705a-6bc3-602703a81cdd"/>
    <x v="17"/>
    <x v="45"/>
    <x v="1"/>
    <x v="0"/>
    <x v="8"/>
    <n v="0.19512195121951201"/>
    <n v="571.03527323674996"/>
  </r>
  <r>
    <s v="b810d43c-a074-17f3-d4ae-2429fb447409"/>
    <x v="40"/>
    <x v="8"/>
    <x v="0"/>
    <x v="0"/>
    <x v="9"/>
    <n v="1.61788617886178"/>
    <n v="1457.13123943752"/>
  </r>
  <r>
    <s v="b81af989-e135-0aca-0976-1e5eb4bd1f68"/>
    <x v="22"/>
    <x v="42"/>
    <x v="0"/>
    <x v="0"/>
    <x v="2"/>
    <n v="1.2073170731707299"/>
    <n v="1167.67150787123"/>
  </r>
  <r>
    <s v="b81fe0ab-b71d-4147-4fea-b5a88d4bea25"/>
    <x v="4"/>
    <x v="7"/>
    <x v="1"/>
    <x v="1"/>
    <x v="1"/>
    <n v="0.66666666666666596"/>
    <n v="2202.4051009407499"/>
  </r>
  <r>
    <s v="b822f0e5-f453-8a98-7f03-37dd9e74aea5"/>
    <x v="8"/>
    <x v="40"/>
    <x v="1"/>
    <x v="0"/>
    <x v="4"/>
    <n v="1.70325203252032"/>
    <n v="4879.2281986103399"/>
  </r>
  <r>
    <s v="b84067f0-ab31-2b81-32e7-3a7bffeffc46"/>
    <x v="19"/>
    <x v="19"/>
    <x v="0"/>
    <x v="0"/>
    <x v="3"/>
    <n v="1.11788617886178"/>
    <n v="1144.6055230537299"/>
  </r>
  <r>
    <s v="b858a5b9-18f1-2e65-0761-634b760f29dc"/>
    <x v="8"/>
    <x v="20"/>
    <x v="1"/>
    <x v="0"/>
    <x v="3"/>
    <n v="1.11788617886178"/>
    <n v="2698.9390235779802"/>
  </r>
  <r>
    <s v="b85c9fd3-1fda-6fe4-e859-63e54c66e30a"/>
    <x v="6"/>
    <x v="34"/>
    <x v="1"/>
    <x v="0"/>
    <x v="6"/>
    <n v="1.1341463414634101"/>
    <n v="3090.8452721904"/>
  </r>
  <r>
    <s v="b87aadb6-028d-fc7f-0465-d6494f354197"/>
    <x v="20"/>
    <x v="1"/>
    <x v="1"/>
    <x v="0"/>
    <x v="0"/>
    <n v="1.1544715447154399"/>
    <n v="2929.8323146885"/>
  </r>
  <r>
    <s v="b87e922b-8a38-098b-771d-68813dd193df"/>
    <x v="13"/>
    <x v="0"/>
    <x v="1"/>
    <x v="0"/>
    <x v="2"/>
    <n v="1.2073170731707299"/>
    <n v="3042.1877298442"/>
  </r>
  <r>
    <s v="b8bcd8cd-6644-bcbc-8c98-f84e6251419e"/>
    <x v="18"/>
    <x v="33"/>
    <x v="1"/>
    <x v="0"/>
    <x v="2"/>
    <n v="1.2073170731707299"/>
    <n v="3848.7217297352099"/>
  </r>
  <r>
    <s v="b8e25ad2-54aa-4b0a-001d-bb8ec792e4d5"/>
    <x v="1"/>
    <x v="35"/>
    <x v="1"/>
    <x v="0"/>
    <x v="7"/>
    <n v="0.46341463414634099"/>
    <n v="1218.7190352636801"/>
  </r>
  <r>
    <s v="b8e587b6-8373-2dc7-2f22-0ab5af500822"/>
    <x v="36"/>
    <x v="29"/>
    <x v="0"/>
    <x v="0"/>
    <x v="9"/>
    <n v="1.61788617886178"/>
    <n v="1499.2640377272601"/>
  </r>
  <r>
    <s v="b8f19e5e-9590-1397-21c1-ad5f791b0359"/>
    <x v="2"/>
    <x v="35"/>
    <x v="1"/>
    <x v="0"/>
    <x v="0"/>
    <n v="1.1544715447154399"/>
    <n v="3036.10707030601"/>
  </r>
  <r>
    <s v="b96ecfcd-dab3-89ec-e46e-64987e8686f7"/>
    <x v="13"/>
    <x v="2"/>
    <x v="0"/>
    <x v="0"/>
    <x v="1"/>
    <n v="0.66666666666666596"/>
    <n v="567.153394370569"/>
  </r>
  <r>
    <s v="b97685ea-a5f7-d6d9-1219-ea042df63909"/>
    <x v="1"/>
    <x v="27"/>
    <x v="0"/>
    <x v="0"/>
    <x v="1"/>
    <n v="0.66666666666666596"/>
    <n v="717.51508678883795"/>
  </r>
  <r>
    <s v="b9b831e1-abbd-c221-552b-f595f4dc7c88"/>
    <x v="28"/>
    <x v="20"/>
    <x v="0"/>
    <x v="0"/>
    <x v="2"/>
    <n v="1.2073170731707299"/>
    <n v="1012.56616092168"/>
  </r>
  <r>
    <s v="b9d9752e-f93e-7ccd-9a38-3476f3d219d4"/>
    <x v="1"/>
    <x v="35"/>
    <x v="1"/>
    <x v="0"/>
    <x v="1"/>
    <n v="0.66666666666666596"/>
    <n v="1753.2449279231801"/>
  </r>
  <r>
    <s v="b9dd47c8-e947-8f8e-d757-94e9ae4f4962"/>
    <x v="15"/>
    <x v="19"/>
    <x v="0"/>
    <x v="0"/>
    <x v="6"/>
    <n v="1.1341463414634101"/>
    <n v="1161.2543306617799"/>
  </r>
  <r>
    <s v="b9f58613-8ff9-c931-0456-f1bbd804c18b"/>
    <x v="22"/>
    <x v="20"/>
    <x v="1"/>
    <x v="0"/>
    <x v="3"/>
    <n v="1.11788617886178"/>
    <n v="2698.9390235779802"/>
  </r>
  <r>
    <s v="b9fb2efe-c924-6ea8-64ad-a4e87d07097d"/>
    <x v="1"/>
    <x v="14"/>
    <x v="1"/>
    <x v="0"/>
    <x v="5"/>
    <n v="0.53252032520325199"/>
    <n v="1370.8358316609399"/>
  </r>
  <r>
    <s v="ba0b2dc1-664a-0372-354b-a0d9fa0362c5"/>
    <x v="21"/>
    <x v="15"/>
    <x v="0"/>
    <x v="0"/>
    <x v="4"/>
    <n v="1.70325203252032"/>
    <n v="1719.2832770451801"/>
  </r>
  <r>
    <s v="ba2392aa-466c-06f2-2907-d0be898c5bd6"/>
    <x v="10"/>
    <x v="12"/>
    <x v="1"/>
    <x v="0"/>
    <x v="7"/>
    <n v="0.46341463414634099"/>
    <n v="1385.51470905529"/>
  </r>
  <r>
    <s v="ba297e9b-957b-5012-21b3-c9c00406f9fb"/>
    <x v="17"/>
    <x v="31"/>
    <x v="0"/>
    <x v="0"/>
    <x v="9"/>
    <n v="1.61788617886178"/>
    <n v="1753.7396657427601"/>
  </r>
  <r>
    <s v="ba4cb3b7-53ae-890e-5f32-424f46fc93c2"/>
    <x v="4"/>
    <x v="19"/>
    <x v="1"/>
    <x v="0"/>
    <x v="4"/>
    <n v="1.70325203252032"/>
    <n v="5020.3105746776"/>
  </r>
  <r>
    <s v="ba4f5af9-e907-6c97-5dfb-cd5408cab593"/>
    <x v="35"/>
    <x v="45"/>
    <x v="0"/>
    <x v="0"/>
    <x v="9"/>
    <n v="1.61788617886178"/>
    <n v="1644.7933889922399"/>
  </r>
  <r>
    <s v="bac7d914-8cf6-6d85-a1a5-46b8219f2d64"/>
    <x v="18"/>
    <x v="3"/>
    <x v="1"/>
    <x v="0"/>
    <x v="8"/>
    <n v="0.19512195121951201"/>
    <n v="587.54669879159405"/>
  </r>
  <r>
    <s v="badf4378-fd86-7415-8486-52dd7504328a"/>
    <x v="50"/>
    <x v="45"/>
    <x v="1"/>
    <x v="0"/>
    <x v="4"/>
    <n v="1.70325203252032"/>
    <n v="4984.6620726291303"/>
  </r>
  <r>
    <s v="bae6abb6-5413-9948-ed5a-1db5f65ca430"/>
    <x v="2"/>
    <x v="1"/>
    <x v="1"/>
    <x v="0"/>
    <x v="5"/>
    <n v="0.53252032520325199"/>
    <n v="1351.4367367049001"/>
  </r>
  <r>
    <s v="baefe946-553a-15b3-76db-dd7e4201dcbb"/>
    <x v="6"/>
    <x v="25"/>
    <x v="1"/>
    <x v="0"/>
    <x v="2"/>
    <n v="1.2073170731707299"/>
    <n v="3085.8565802183698"/>
  </r>
  <r>
    <s v="bb1bceaf-b090-2f0b-a810-937604b671b8"/>
    <x v="17"/>
    <x v="30"/>
    <x v="1"/>
    <x v="0"/>
    <x v="6"/>
    <n v="1.1341463414634101"/>
    <n v="2642.3495193123499"/>
  </r>
  <r>
    <s v="bb3f1957-95e3-908a-681e-5e135bb502fc"/>
    <x v="15"/>
    <x v="8"/>
    <x v="0"/>
    <x v="0"/>
    <x v="3"/>
    <n v="1.11788617886178"/>
    <n v="1006.81178604351"/>
  </r>
  <r>
    <s v="bb5e0c8b-4184-46f8-eedd-4cfa4770c7fa"/>
    <x v="28"/>
    <x v="32"/>
    <x v="0"/>
    <x v="0"/>
    <x v="3"/>
    <n v="1.11788617886178"/>
    <n v="971.56972308694696"/>
  </r>
  <r>
    <s v="bb753744-35d5-b467-d815-019dee2044b3"/>
    <x v="36"/>
    <x v="19"/>
    <x v="1"/>
    <x v="0"/>
    <x v="6"/>
    <n v="1.1341463414634101"/>
    <n v="3342.8798337352"/>
  </r>
  <r>
    <s v="bb8de645-cd2f-7089-ab6d-9b7749dd1ecb"/>
    <x v="8"/>
    <x v="17"/>
    <x v="1"/>
    <x v="0"/>
    <x v="0"/>
    <n v="1.1544715447154399"/>
    <n v="3168.73751304189"/>
  </r>
  <r>
    <s v="bb9cdf44-4e28-061a-32df-a273f9ab57fa"/>
    <x v="6"/>
    <x v="16"/>
    <x v="1"/>
    <x v="0"/>
    <x v="8"/>
    <n v="0.19512195121951201"/>
    <n v="484.70898586207898"/>
  </r>
  <r>
    <s v="bbb992d2-4a2a-2b6e-936c-ccac5a1e0b2a"/>
    <x v="33"/>
    <x v="33"/>
    <x v="0"/>
    <x v="0"/>
    <x v="9"/>
    <n v="1.61788617886178"/>
    <n v="1791.6357344349999"/>
  </r>
  <r>
    <s v="bbc8b84a-b242-84b2-3d71-d49896fb7060"/>
    <x v="37"/>
    <x v="6"/>
    <x v="0"/>
    <x v="0"/>
    <x v="5"/>
    <n v="0.53252032520325199"/>
    <n v="511.37638160394698"/>
  </r>
  <r>
    <s v="bbd47a8c-9ed4-a4a7-89fb-b2779545571b"/>
    <x v="2"/>
    <x v="0"/>
    <x v="1"/>
    <x v="0"/>
    <x v="1"/>
    <n v="0.66666666666666596"/>
    <n v="1679.8612380284401"/>
  </r>
  <r>
    <s v="bc0a0f66-2507-6381-212c-995a4c430a67"/>
    <x v="1"/>
    <x v="15"/>
    <x v="1"/>
    <x v="0"/>
    <x v="4"/>
    <n v="1.70325203252032"/>
    <n v="4949.2667054573503"/>
  </r>
  <r>
    <s v="bc1c84cb-1254-6324-7832-f0c4c5bbc577"/>
    <x v="14"/>
    <x v="7"/>
    <x v="0"/>
    <x v="0"/>
    <x v="8"/>
    <n v="0.19512195121951201"/>
    <n v="208.51320454811801"/>
  </r>
  <r>
    <s v="bc58e8cb-20d4-c767-808b-2c51929537a9"/>
    <x v="6"/>
    <x v="22"/>
    <x v="0"/>
    <x v="0"/>
    <x v="4"/>
    <n v="1.70325203252032"/>
    <n v="1589.6588728029201"/>
  </r>
  <r>
    <s v="bc5d5a3e-617c-667a-0106-c4867689a9a6"/>
    <x v="28"/>
    <x v="1"/>
    <x v="1"/>
    <x v="0"/>
    <x v="5"/>
    <n v="0.53252032520325199"/>
    <n v="1351.4367367049001"/>
  </r>
  <r>
    <s v="bc6df6bf-f518-0c52-302c-d0b8685df7de"/>
    <x v="13"/>
    <x v="28"/>
    <x v="0"/>
    <x v="0"/>
    <x v="7"/>
    <n v="0.46341463414634099"/>
    <n v="420.35412355251702"/>
  </r>
  <r>
    <s v="bc9b48d6-3e31-96bd-02ab-49389befad6e"/>
    <x v="2"/>
    <x v="14"/>
    <x v="1"/>
    <x v="0"/>
    <x v="7"/>
    <n v="0.46341463414634099"/>
    <n v="1192.94110541486"/>
  </r>
  <r>
    <s v="bca5133d-b77e-ca68-f887-d71dba093bb9"/>
    <x v="6"/>
    <x v="5"/>
    <x v="0"/>
    <x v="0"/>
    <x v="8"/>
    <n v="0.19512195121951201"/>
    <n v="201.21448637276001"/>
  </r>
  <r>
    <s v="bcbfc824-3eff-8889-d4b7-7309c4cd5994"/>
    <x v="13"/>
    <x v="6"/>
    <x v="1"/>
    <x v="0"/>
    <x v="2"/>
    <n v="1.2073170731707299"/>
    <n v="3337.4843524602102"/>
  </r>
  <r>
    <s v="bd106264-8335-0499-0c31-8f3317b28e5d"/>
    <x v="9"/>
    <x v="3"/>
    <x v="1"/>
    <x v="0"/>
    <x v="5"/>
    <n v="0.53252032520325199"/>
    <n v="1603.5128654520599"/>
  </r>
  <r>
    <s v="bd7d3982-29b5-f42d-cda2-77a247483ec3"/>
    <x v="2"/>
    <x v="4"/>
    <x v="0"/>
    <x v="0"/>
    <x v="5"/>
    <n v="0.53252032520325199"/>
    <n v="581.36410286104001"/>
  </r>
  <r>
    <s v="bdc8868a-4596-34cd-1d76-f6a11f112a87"/>
    <x v="33"/>
    <x v="19"/>
    <x v="1"/>
    <x v="0"/>
    <x v="6"/>
    <n v="1.1341463414634101"/>
    <n v="3342.8798337352"/>
  </r>
  <r>
    <s v="be1a1b76-02f3-6eb6-2266-09ac0e202305"/>
    <x v="1"/>
    <x v="20"/>
    <x v="0"/>
    <x v="0"/>
    <x v="2"/>
    <n v="1.2073170731707299"/>
    <n v="1012.56616092168"/>
  </r>
  <r>
    <s v="be387e62-c686-409d-2259-b9f8a07ae26f"/>
    <x v="14"/>
    <x v="13"/>
    <x v="0"/>
    <x v="0"/>
    <x v="9"/>
    <n v="1.61788617886178"/>
    <n v="1386.2278613815899"/>
  </r>
  <r>
    <s v="be475fac-d4f0-f1d7-14d5-8e50770f2d3a"/>
    <x v="8"/>
    <x v="17"/>
    <x v="1"/>
    <x v="0"/>
    <x v="9"/>
    <n v="1.61788617886178"/>
    <n v="4440.6955288403997"/>
  </r>
  <r>
    <s v="bee4b18e-5fa4-5478-305e-ade8ea35e615"/>
    <x v="31"/>
    <x v="3"/>
    <x v="0"/>
    <x v="0"/>
    <x v="1"/>
    <n v="0.66666666666666596"/>
    <n v="697.35124795805496"/>
  </r>
  <r>
    <s v="bef95944-79fa-b254-38a1-4c77952d8e0f"/>
    <x v="37"/>
    <x v="32"/>
    <x v="1"/>
    <x v="0"/>
    <x v="3"/>
    <n v="1.11788617886178"/>
    <n v="2796.8385121320898"/>
  </r>
  <r>
    <s v="bf15ffe2-062c-aaa8-147a-38c3b0342829"/>
    <x v="13"/>
    <x v="43"/>
    <x v="1"/>
    <x v="0"/>
    <x v="7"/>
    <n v="0.46341463414634099"/>
    <n v="1072.00311711361"/>
  </r>
  <r>
    <s v="bf5c612f-4056-86c2-7653-d6628e7ec865"/>
    <x v="47"/>
    <x v="4"/>
    <x v="0"/>
    <x v="0"/>
    <x v="9"/>
    <n v="1.61788617886178"/>
    <n v="1766.2817781579699"/>
  </r>
  <r>
    <s v="bf62499b-d0c0-834c-2288-169f0085a9c4"/>
    <x v="6"/>
    <x v="42"/>
    <x v="0"/>
    <x v="0"/>
    <x v="2"/>
    <n v="1.2073170731707299"/>
    <n v="1167.67150787123"/>
  </r>
  <r>
    <s v="bfa9990a-bcd0-b430-a0c0-f8849574b6b2"/>
    <x v="10"/>
    <x v="30"/>
    <x v="1"/>
    <x v="0"/>
    <x v="5"/>
    <n v="0.53252032520325199"/>
    <n v="1240.6730717918199"/>
  </r>
  <r>
    <s v="bfc78dab-f7b7-4c51-e310-b52c269a4bdf"/>
    <x v="2"/>
    <x v="7"/>
    <x v="1"/>
    <x v="0"/>
    <x v="9"/>
    <n v="1.61788617886178"/>
    <n v="4977.0134708805699"/>
  </r>
  <r>
    <s v="bfef555d-9e48-b3a4-be20-2d53dd6c2b02"/>
    <x v="1"/>
    <x v="12"/>
    <x v="0"/>
    <x v="0"/>
    <x v="5"/>
    <n v="0.53252032520325199"/>
    <n v="553.07517619633404"/>
  </r>
  <r>
    <s v="c00723a1-bfb8-029c-0823-936c1eddf1de"/>
    <x v="1"/>
    <x v="25"/>
    <x v="0"/>
    <x v="0"/>
    <x v="9"/>
    <n v="1.61788617886178"/>
    <n v="1436.5109531680801"/>
  </r>
  <r>
    <s v="c021e27c-2dee-e29f-53c4-c0608296b63a"/>
    <x v="30"/>
    <x v="14"/>
    <x v="0"/>
    <x v="0"/>
    <x v="7"/>
    <n v="0.46341463414634099"/>
    <n v="414.40557058241001"/>
  </r>
  <r>
    <s v="c027bb66-5757-31db-5a95-ddf703f485ea"/>
    <x v="38"/>
    <x v="16"/>
    <x v="0"/>
    <x v="0"/>
    <x v="4"/>
    <n v="1.70325203252032"/>
    <n v="1469.8074282581699"/>
  </r>
  <r>
    <s v="c04b133d-7e5e-d0a1-1b22-3d1ff87fb525"/>
    <x v="2"/>
    <x v="16"/>
    <x v="1"/>
    <x v="0"/>
    <x v="9"/>
    <n v="1.61788617886178"/>
    <n v="4019.0453411064"/>
  </r>
  <r>
    <s v="c07fef95-b08a-aa2e-de94-a10c940b2015"/>
    <x v="17"/>
    <x v="41"/>
    <x v="1"/>
    <x v="0"/>
    <x v="2"/>
    <n v="1.2073170731707299"/>
    <n v="3385.3920155488299"/>
  </r>
  <r>
    <s v="c0b98753-5220-3a61-a6f1-c3c7ef09b282"/>
    <x v="2"/>
    <x v="7"/>
    <x v="1"/>
    <x v="0"/>
    <x v="9"/>
    <n v="1.61788617886178"/>
    <n v="4977.0134708805699"/>
  </r>
  <r>
    <s v="c101a30f-67d9-2d15-a6e4-356cbdbf74c0"/>
    <x v="33"/>
    <x v="9"/>
    <x v="1"/>
    <x v="0"/>
    <x v="3"/>
    <n v="1.11788617886178"/>
    <n v="3538.3263993226201"/>
  </r>
  <r>
    <s v="c111c310-8005-defa-b6c7-67ad8b6d9b89"/>
    <x v="13"/>
    <x v="37"/>
    <x v="1"/>
    <x v="0"/>
    <x v="7"/>
    <n v="0.46341463414634099"/>
    <n v="1102.9999757882999"/>
  </r>
  <r>
    <s v="c133cf69-dfb2-0941-31fa-1213657ee102"/>
    <x v="1"/>
    <x v="44"/>
    <x v="0"/>
    <x v="0"/>
    <x v="2"/>
    <n v="1.2073170731707299"/>
    <n v="984.11070228359199"/>
  </r>
  <r>
    <s v="c138173c-e0ed-fbb6-b83a-1ad02c5fc043"/>
    <x v="12"/>
    <x v="25"/>
    <x v="1"/>
    <x v="0"/>
    <x v="6"/>
    <n v="1.1341463414634101"/>
    <n v="2898.8349692960401"/>
  </r>
  <r>
    <s v="c14148aa-3bac-0d8e-98a0-4a19ebe06ca0"/>
    <x v="16"/>
    <x v="29"/>
    <x v="1"/>
    <x v="0"/>
    <x v="2"/>
    <n v="1.2073170731707299"/>
    <n v="3220.66029924945"/>
  </r>
  <r>
    <s v="c1698582-cacf-09f9-ded1-ce8cda7c5fcb"/>
    <x v="27"/>
    <x v="47"/>
    <x v="0"/>
    <x v="0"/>
    <x v="3"/>
    <n v="1.11788617886178"/>
    <n v="917.73028374089404"/>
  </r>
  <r>
    <s v="c1ad1f9d-92bf-76b2-78d8-e804a7d6845e"/>
    <x v="1"/>
    <x v="40"/>
    <x v="1"/>
    <x v="0"/>
    <x v="4"/>
    <n v="1.70325203252032"/>
    <n v="4879.2281986103399"/>
  </r>
  <r>
    <s v="c1c0b5b0-5fa3-f100-cd00-e1aa977684e6"/>
    <x v="17"/>
    <x v="5"/>
    <x v="0"/>
    <x v="0"/>
    <x v="7"/>
    <n v="0.46341463414634099"/>
    <n v="477.88440513530702"/>
  </r>
  <r>
    <s v="c1e572f5-2769-acd1-3afe-e12143bd123e"/>
    <x v="15"/>
    <x v="30"/>
    <x v="1"/>
    <x v="0"/>
    <x v="6"/>
    <n v="1.1341463414634101"/>
    <n v="2642.3495193123499"/>
  </r>
  <r>
    <s v="c220f730-8119-fa4b-bb1c-8a69fcec86fc"/>
    <x v="35"/>
    <x v="13"/>
    <x v="1"/>
    <x v="0"/>
    <x v="3"/>
    <n v="1.11788617886178"/>
    <n v="2757.2596401618398"/>
  </r>
  <r>
    <s v="c2242ce3-e2d2-bf1c-183d-0f0ad8e40335"/>
    <x v="1"/>
    <x v="38"/>
    <x v="1"/>
    <x v="0"/>
    <x v="3"/>
    <n v="1.11788617886178"/>
    <n v="3024.89909298972"/>
  </r>
  <r>
    <s v="c2287712-7d16-9690-e820-3b550c3d77f8"/>
    <x v="34"/>
    <x v="12"/>
    <x v="1"/>
    <x v="0"/>
    <x v="8"/>
    <n v="0.19512195121951201"/>
    <n v="583.37461433907197"/>
  </r>
  <r>
    <s v="c264ebae-6e17-e1c0-b8fc-1f92a37be603"/>
    <x v="4"/>
    <x v="6"/>
    <x v="0"/>
    <x v="0"/>
    <x v="7"/>
    <n v="0.46341463414634099"/>
    <n v="445.01456109045802"/>
  </r>
  <r>
    <s v="c2665baa-4fe6-96d1-e075-7bbb18c4919b"/>
    <x v="1"/>
    <x v="2"/>
    <x v="1"/>
    <x v="0"/>
    <x v="2"/>
    <n v="1.2073170731707299"/>
    <n v="2956.6951956703201"/>
  </r>
  <r>
    <s v="c26dc8fe-810d-540a-5e28-25e5a8fdd391"/>
    <x v="17"/>
    <x v="32"/>
    <x v="0"/>
    <x v="0"/>
    <x v="5"/>
    <n v="0.53252032520325199"/>
    <n v="462.82048627050898"/>
  </r>
  <r>
    <s v="c27cb3ac-d36a-9437-d532-75b76a6d1137"/>
    <x v="15"/>
    <x v="34"/>
    <x v="0"/>
    <x v="0"/>
    <x v="4"/>
    <n v="1.70325203252032"/>
    <n v="1612.4775091353899"/>
  </r>
  <r>
    <s v="c2a8c487-f607-d984-506c-4cf44f6575cf"/>
    <x v="6"/>
    <x v="32"/>
    <x v="1"/>
    <x v="0"/>
    <x v="5"/>
    <n v="0.53252032520325199"/>
    <n v="1332.3121639610999"/>
  </r>
  <r>
    <s v="c2ab33b6-4b12-f305-d0a5-219d3bb11fa9"/>
    <x v="15"/>
    <x v="5"/>
    <x v="0"/>
    <x v="0"/>
    <x v="2"/>
    <n v="1.2073170731707299"/>
    <n v="1245.0146344314501"/>
  </r>
  <r>
    <s v="c2f4d931-3de6-bc07-8cb9-9b7fc10a5f84"/>
    <x v="38"/>
    <x v="18"/>
    <x v="0"/>
    <x v="0"/>
    <x v="2"/>
    <n v="1.2073170731707299"/>
    <n v="1281.01410314131"/>
  </r>
  <r>
    <s v="c3814023-c7c4-22f7-2d99-bc3a54502c1d"/>
    <x v="23"/>
    <x v="12"/>
    <x v="0"/>
    <x v="0"/>
    <x v="7"/>
    <n v="0.46341463414634099"/>
    <n v="481.30206172810699"/>
  </r>
  <r>
    <s v="c3995c3f-28f7-91aa-9d95-32bba888b1fe"/>
    <x v="2"/>
    <x v="4"/>
    <x v="0"/>
    <x v="0"/>
    <x v="2"/>
    <n v="1.2073170731707299"/>
    <n v="1318.0544927460201"/>
  </r>
  <r>
    <s v="c3a00a3f-ec7e-382d-7b3d-759af2c92a93"/>
    <x v="22"/>
    <x v="27"/>
    <x v="1"/>
    <x v="0"/>
    <x v="8"/>
    <n v="0.19512195121951201"/>
    <n v="604.53555049965701"/>
  </r>
  <r>
    <s v="c3b27881-eb29-17ef-45d8-6be63f27ed6f"/>
    <x v="1"/>
    <x v="31"/>
    <x v="1"/>
    <x v="0"/>
    <x v="6"/>
    <n v="1.1341463414634101"/>
    <n v="3538.9927649941401"/>
  </r>
  <r>
    <s v="c3d05c57-b27c-482c-42fd-6d7a672c3560"/>
    <x v="34"/>
    <x v="9"/>
    <x v="0"/>
    <x v="0"/>
    <x v="2"/>
    <n v="1.2073170731707299"/>
    <n v="1327.48074222894"/>
  </r>
  <r>
    <s v="c3ddde8f-21c1-3178-29a8-4d9c539f4502"/>
    <x v="15"/>
    <x v="15"/>
    <x v="0"/>
    <x v="0"/>
    <x v="5"/>
    <n v="0.53252032520325199"/>
    <n v="537.53248041269501"/>
  </r>
  <r>
    <s v="c422b7bd-6820-738c-1bee-43841f56c20a"/>
    <x v="2"/>
    <x v="9"/>
    <x v="1"/>
    <x v="0"/>
    <x v="2"/>
    <n v="1.2073170731707299"/>
    <n v="3821.3925112684301"/>
  </r>
  <r>
    <s v="c445bdf6-8d02-0863-c938-fb75f373df19"/>
    <x v="21"/>
    <x v="21"/>
    <x v="1"/>
    <x v="0"/>
    <x v="8"/>
    <n v="0.19512195121951201"/>
    <n v="562.95438766831296"/>
  </r>
  <r>
    <s v="c48b6c79-0acf-d0fa-18ac-be6423b9ba02"/>
    <x v="22"/>
    <x v="4"/>
    <x v="1"/>
    <x v="0"/>
    <x v="9"/>
    <n v="1.61788617886178"/>
    <n v="5084.5603594290596"/>
  </r>
  <r>
    <s v="c48cf8a9-bc1a-8996-3ef9-04c8cc921cf2"/>
    <x v="21"/>
    <x v="32"/>
    <x v="0"/>
    <x v="0"/>
    <x v="9"/>
    <n v="1.61788617886178"/>
    <n v="1406.12636286765"/>
  </r>
  <r>
    <s v="c4c53f88-477e-19b8-d06a-58b77e9bed7a"/>
    <x v="15"/>
    <x v="34"/>
    <x v="0"/>
    <x v="0"/>
    <x v="3"/>
    <n v="1.11788617886178"/>
    <n v="1058.3086277141599"/>
  </r>
  <r>
    <s v="c4d49115-9ff4-b6c0-08c2-17c26b333eee"/>
    <x v="1"/>
    <x v="14"/>
    <x v="0"/>
    <x v="0"/>
    <x v="4"/>
    <n v="1.70325203252032"/>
    <n v="1523.1222287195601"/>
  </r>
  <r>
    <s v="c4df863e-d7f5-3197-fc63-694228bf3600"/>
    <x v="2"/>
    <x v="22"/>
    <x v="0"/>
    <x v="0"/>
    <x v="1"/>
    <n v="0.66666666666666596"/>
    <n v="622.20538219493994"/>
  </r>
  <r>
    <s v="c4efb6df-b7be-7818-6cf5-eb076339150a"/>
    <x v="17"/>
    <x v="4"/>
    <x v="0"/>
    <x v="0"/>
    <x v="6"/>
    <n v="1.1341463414634101"/>
    <n v="1238.17240227656"/>
  </r>
  <r>
    <s v="c4f76167-1628-8e91-4dbd-007c3355a3e7"/>
    <x v="28"/>
    <x v="8"/>
    <x v="1"/>
    <x v="0"/>
    <x v="0"/>
    <n v="1.1544715447154399"/>
    <n v="2993.1422396579801"/>
  </r>
  <r>
    <s v="c50cc84a-3600-689b-2a0f-9cdff0486922"/>
    <x v="49"/>
    <x v="3"/>
    <x v="1"/>
    <x v="0"/>
    <x v="3"/>
    <n v="1.11788617886178"/>
    <n v="3366.1529618268401"/>
  </r>
  <r>
    <s v="c607ea8b-a1b1-e78e-c6c4-fe7107a78de0"/>
    <x v="37"/>
    <x v="41"/>
    <x v="1"/>
    <x v="0"/>
    <x v="4"/>
    <n v="1.70325203252032"/>
    <n v="4776.0244259762903"/>
  </r>
  <r>
    <s v="c67c5cfd-a9a7-b888-f66e-53f547167682"/>
    <x v="2"/>
    <x v="3"/>
    <x v="0"/>
    <x v="0"/>
    <x v="9"/>
    <n v="1.61788617886178"/>
    <n v="1692.3524188250301"/>
  </r>
  <r>
    <s v="c68218ea-b274-2c2d-e47f-ee19cf89b575"/>
    <x v="21"/>
    <x v="22"/>
    <x v="1"/>
    <x v="0"/>
    <x v="5"/>
    <n v="0.53252032520325199"/>
    <n v="1430.71993952051"/>
  </r>
  <r>
    <s v="c6f8017f-a715-778c-65f1-fc5ac4f8ca66"/>
    <x v="1"/>
    <x v="13"/>
    <x v="0"/>
    <x v="0"/>
    <x v="0"/>
    <n v="1.1544715447154399"/>
    <n v="989.167619679327"/>
  </r>
  <r>
    <s v="c70e9449-5346-bf6c-e72a-3f1000e8c006"/>
    <x v="27"/>
    <x v="27"/>
    <x v="0"/>
    <x v="1"/>
    <x v="4"/>
    <n v="1.70325203252032"/>
    <n v="1968.6514187046"/>
  </r>
  <r>
    <s v="c73d8aa8-7f13-f516-5be1-a51b91adf671"/>
    <x v="38"/>
    <x v="13"/>
    <x v="1"/>
    <x v="0"/>
    <x v="4"/>
    <n v="1.70325203252032"/>
    <n v="4201.0610517374898"/>
  </r>
  <r>
    <s v="c74816b6-ecc6-4bfc-68c4-d694028880cb"/>
    <x v="13"/>
    <x v="43"/>
    <x v="1"/>
    <x v="0"/>
    <x v="3"/>
    <n v="1.11788617886178"/>
    <n v="2585.9724316337001"/>
  </r>
  <r>
    <s v="c7890bb1-6665-c00e-9357-da54561058fb"/>
    <x v="1"/>
    <x v="43"/>
    <x v="0"/>
    <x v="0"/>
    <x v="0"/>
    <n v="1.1544715447154399"/>
    <n v="927.71828865755197"/>
  </r>
  <r>
    <s v="c78fa4c0-aebf-04bc-6892-5f72563187f3"/>
    <x v="2"/>
    <x v="0"/>
    <x v="1"/>
    <x v="0"/>
    <x v="7"/>
    <n v="0.46341463414634099"/>
    <n v="1167.70842155636"/>
  </r>
  <r>
    <s v="c79595fe-72a0-a4a3-2fe4-abff38cd27d2"/>
    <x v="2"/>
    <x v="46"/>
    <x v="0"/>
    <x v="0"/>
    <x v="1"/>
    <n v="0.66666666666666596"/>
    <n v="555.15715898688302"/>
  </r>
  <r>
    <s v="c7bef0b3-8266-ae6a-a857-5899242ce468"/>
    <x v="17"/>
    <x v="32"/>
    <x v="1"/>
    <x v="0"/>
    <x v="7"/>
    <n v="0.46341463414634099"/>
    <n v="1159.41669230203"/>
  </r>
  <r>
    <s v="c82ffa6b-7eca-43c5-0cec-4ea77d2c94a1"/>
    <x v="21"/>
    <x v="26"/>
    <x v="1"/>
    <x v="0"/>
    <x v="0"/>
    <n v="1.1544715447154399"/>
    <n v="3501.1793378674101"/>
  </r>
  <r>
    <s v="c8326c55-a63f-84ca-9d74-ca770af88708"/>
    <x v="1"/>
    <x v="20"/>
    <x v="1"/>
    <x v="0"/>
    <x v="7"/>
    <n v="0.46341463414634099"/>
    <n v="1118.8329043195899"/>
  </r>
  <r>
    <s v="c84c327c-90f8-3e98-8209-a4c2d3c979bf"/>
    <x v="6"/>
    <x v="20"/>
    <x v="0"/>
    <x v="0"/>
    <x v="8"/>
    <n v="0.19512195121951201"/>
    <n v="163.64705631057501"/>
  </r>
  <r>
    <s v="c86557c6-78bf-4cfe-aa4d-c34e9497d2a5"/>
    <x v="1"/>
    <x v="6"/>
    <x v="0"/>
    <x v="0"/>
    <x v="9"/>
    <n v="1.61788617886178"/>
    <n v="1553.6473273158099"/>
  </r>
  <r>
    <s v="c880a461-c65c-63d1-6da3-121e7e761175"/>
    <x v="17"/>
    <x v="6"/>
    <x v="0"/>
    <x v="0"/>
    <x v="8"/>
    <n v="0.19512195121951201"/>
    <n v="187.37455203808699"/>
  </r>
  <r>
    <s v="c8961e4a-7d98-bc3d-a06d-f1ee64d19e09"/>
    <x v="1"/>
    <x v="2"/>
    <x v="0"/>
    <x v="0"/>
    <x v="2"/>
    <n v="1.2073170731707299"/>
    <n v="1027.1009641954799"/>
  </r>
  <r>
    <s v="c8b1fc81-628b-90af-a07a-92962c20149e"/>
    <x v="25"/>
    <x v="38"/>
    <x v="1"/>
    <x v="0"/>
    <x v="7"/>
    <n v="0.46341463414634099"/>
    <n v="1253.95816945755"/>
  </r>
  <r>
    <s v="c8b6cd29-d710-f944-457a-4a3a364e156e"/>
    <x v="6"/>
    <x v="7"/>
    <x v="1"/>
    <x v="0"/>
    <x v="2"/>
    <n v="1.2073170731707299"/>
    <n v="3714.0025147023298"/>
  </r>
  <r>
    <s v="c8f4ee16-9330-10aa-4ef6-4636445a7d37"/>
    <x v="14"/>
    <x v="27"/>
    <x v="0"/>
    <x v="0"/>
    <x v="5"/>
    <n v="0.53252032520325199"/>
    <n v="573.13705103254802"/>
  </r>
  <r>
    <s v="c939e412-246f-f677-163c-2999cafa2fbe"/>
    <x v="10"/>
    <x v="35"/>
    <x v="1"/>
    <x v="0"/>
    <x v="6"/>
    <n v="1.1341463414634101"/>
    <n v="2982.6544810400601"/>
  </r>
  <r>
    <s v="c93b6326-89a8-01c7-a155-c23074d3177d"/>
    <x v="1"/>
    <x v="31"/>
    <x v="1"/>
    <x v="0"/>
    <x v="5"/>
    <n v="0.53252032520325199"/>
    <n v="1661.6776065026199"/>
  </r>
  <r>
    <s v="c96ba85a-bbd5-82c3-d089-f3ee9beca1bc"/>
    <x v="33"/>
    <x v="14"/>
    <x v="0"/>
    <x v="0"/>
    <x v="0"/>
    <n v="1.1544715447154399"/>
    <n v="1032.37878987196"/>
  </r>
  <r>
    <s v="c9759694-2fc3-cb82-3f90-d3eaa3b75d84"/>
    <x v="15"/>
    <x v="40"/>
    <x v="0"/>
    <x v="0"/>
    <x v="4"/>
    <n v="1.70325203252032"/>
    <n v="1694.95320135165"/>
  </r>
  <r>
    <s v="c9c55465-a5b3-0bdd-b8d3-64225fbf96de"/>
    <x v="22"/>
    <x v="9"/>
    <x v="1"/>
    <x v="0"/>
    <x v="9"/>
    <n v="1.61788617886178"/>
    <n v="5120.9232979287399"/>
  </r>
  <r>
    <s v="c9ea060f-925c-313f-9c0b-932308d8f09e"/>
    <x v="31"/>
    <x v="30"/>
    <x v="1"/>
    <x v="0"/>
    <x v="7"/>
    <n v="0.46341463414634099"/>
    <n v="1079.66969606311"/>
  </r>
  <r>
    <s v="ca006cb4-1d2c-08ce-b2d3-66bb6e9e9f5c"/>
    <x v="27"/>
    <x v="4"/>
    <x v="0"/>
    <x v="0"/>
    <x v="3"/>
    <n v="1.11788617886178"/>
    <n v="1220.42082661668"/>
  </r>
  <r>
    <s v="ca541b04-bc0c-69d5-2bd7-6cea6d199be3"/>
    <x v="22"/>
    <x v="25"/>
    <x v="0"/>
    <x v="0"/>
    <x v="6"/>
    <n v="1.1341463414634101"/>
    <n v="1007.00139681883"/>
  </r>
  <r>
    <s v="ca564c31-a4ad-9388-e347-2d7552d8024c"/>
    <x v="15"/>
    <x v="25"/>
    <x v="0"/>
    <x v="0"/>
    <x v="1"/>
    <n v="0.66666666666666596"/>
    <n v="591.92913648132003"/>
  </r>
  <r>
    <s v="ca701255-ec63-3612-be32-0e3c78b37498"/>
    <x v="1"/>
    <x v="40"/>
    <x v="1"/>
    <x v="0"/>
    <x v="1"/>
    <n v="0.66666666666666596"/>
    <n v="1909.7695097185999"/>
  </r>
  <r>
    <s v="ca96df09-f1f9-da46-d849-af703b685f3e"/>
    <x v="4"/>
    <x v="12"/>
    <x v="0"/>
    <x v="0"/>
    <x v="1"/>
    <n v="0.66666666666666596"/>
    <n v="692.39945722289099"/>
  </r>
  <r>
    <s v="ca9d61ad-0754-ca87-c7e5-c005d9bbddd1"/>
    <x v="1"/>
    <x v="0"/>
    <x v="1"/>
    <x v="0"/>
    <x v="7"/>
    <n v="0.46341463414634099"/>
    <n v="1167.70842155636"/>
  </r>
  <r>
    <s v="caa642f1-95a0-3719-4672-36d3600f8f25"/>
    <x v="21"/>
    <x v="4"/>
    <x v="0"/>
    <x v="0"/>
    <x v="1"/>
    <n v="0.66666666666666596"/>
    <n v="727.814602055043"/>
  </r>
  <r>
    <s v="caaa0e50-da36-5c16-6e7c-6335359ee22c"/>
    <x v="22"/>
    <x v="11"/>
    <x v="0"/>
    <x v="0"/>
    <x v="8"/>
    <n v="0.19512195121951201"/>
    <n v="155.684061085926"/>
  </r>
  <r>
    <s v="caaf3fa6-7766-1c43-d995-b0a66c0cb2d2"/>
    <x v="11"/>
    <x v="12"/>
    <x v="0"/>
    <x v="0"/>
    <x v="6"/>
    <n v="1.1341463414634101"/>
    <n v="1177.9234668608899"/>
  </r>
  <r>
    <s v="cab98c54-6aed-038b-82c3-98b36b91235a"/>
    <x v="34"/>
    <x v="10"/>
    <x v="1"/>
    <x v="0"/>
    <x v="8"/>
    <n v="0.19512195121951201"/>
    <n v="474.456586520553"/>
  </r>
  <r>
    <s v="cad1e260-2409-de1d-3488-cd3460eba61d"/>
    <x v="45"/>
    <x v="0"/>
    <x v="0"/>
    <x v="0"/>
    <x v="4"/>
    <n v="1.70325203252032"/>
    <n v="1490.9056662248099"/>
  </r>
  <r>
    <s v="cad28afa-96f5-e3dd-7795-c626c03869cb"/>
    <x v="3"/>
    <x v="26"/>
    <x v="1"/>
    <x v="0"/>
    <x v="6"/>
    <n v="1.1341463414634101"/>
    <n v="3439.53885656693"/>
  </r>
  <r>
    <s v="cadca018-c6fc-ec17-ea8a-981030132827"/>
    <x v="9"/>
    <x v="32"/>
    <x v="1"/>
    <x v="0"/>
    <x v="8"/>
    <n v="0.19512195121951201"/>
    <n v="488.17544939032803"/>
  </r>
  <r>
    <s v="cafd4cfd-ebf3-70be-9ef2-73be46f685a2"/>
    <x v="13"/>
    <x v="19"/>
    <x v="0"/>
    <x v="0"/>
    <x v="6"/>
    <n v="1.1341463414634101"/>
    <n v="1161.2543306617799"/>
  </r>
  <r>
    <s v="cb111736-896c-46c6-096c-e6d2df385974"/>
    <x v="48"/>
    <x v="25"/>
    <x v="0"/>
    <x v="0"/>
    <x v="4"/>
    <n v="1.70325203252032"/>
    <n v="1512.30675722971"/>
  </r>
  <r>
    <s v="cb27ae52-6df9-1c36-dbdb-1947e3215869"/>
    <x v="6"/>
    <x v="34"/>
    <x v="0"/>
    <x v="0"/>
    <x v="2"/>
    <n v="1.2073170731707299"/>
    <n v="1142.97331793129"/>
  </r>
  <r>
    <s v="cb380bec-a271-5cbe-4780-a07808b39207"/>
    <x v="26"/>
    <x v="3"/>
    <x v="1"/>
    <x v="0"/>
    <x v="7"/>
    <n v="0.46341463414634099"/>
    <n v="1395.4234096300299"/>
  </r>
  <r>
    <s v="cb48dece-3b62-25ec-1fb3-244651f57547"/>
    <x v="38"/>
    <x v="21"/>
    <x v="0"/>
    <x v="0"/>
    <x v="7"/>
    <n v="0.46341463414634099"/>
    <n v="464.45474448800599"/>
  </r>
  <r>
    <s v="cb4ca05f-ebb8-2787-54a2-5e410af637da"/>
    <x v="13"/>
    <x v="18"/>
    <x v="1"/>
    <x v="0"/>
    <x v="1"/>
    <n v="0.66666666666666596"/>
    <n v="2036.26702541144"/>
  </r>
  <r>
    <s v="cb66b091-e2cc-eb5d-e59a-2048f52e793c"/>
    <x v="13"/>
    <x v="41"/>
    <x v="0"/>
    <x v="0"/>
    <x v="5"/>
    <n v="0.53252032520325199"/>
    <n v="518.71689464135"/>
  </r>
  <r>
    <s v="cb6ff4c0-8cc0-dc49-7574-587899accb77"/>
    <x v="18"/>
    <x v="29"/>
    <x v="1"/>
    <x v="0"/>
    <x v="1"/>
    <n v="0.66666666666666596"/>
    <n v="1778.4117477336999"/>
  </r>
  <r>
    <s v="cb932e18-1589-9de2-7459-72fbd1243bfb"/>
    <x v="1"/>
    <x v="6"/>
    <x v="0"/>
    <x v="0"/>
    <x v="0"/>
    <n v="1.1544715447154399"/>
    <n v="1108.63276622535"/>
  </r>
  <r>
    <s v="cb93a376-1471-3819-1e3c-84c9f07ba038"/>
    <x v="15"/>
    <x v="5"/>
    <x v="1"/>
    <x v="0"/>
    <x v="8"/>
    <n v="0.19512195121951201"/>
    <n v="579.23215525711896"/>
  </r>
  <r>
    <s v="cb9d3414-c8e4-1bc8-73eb-0bb424fba3c9"/>
    <x v="22"/>
    <x v="46"/>
    <x v="0"/>
    <x v="0"/>
    <x v="6"/>
    <n v="1.1341463414634101"/>
    <n v="944.44419120329599"/>
  </r>
  <r>
    <s v="cbab41eb-71ea-05dd-04f8-7cd61c44f1b3"/>
    <x v="8"/>
    <x v="27"/>
    <x v="1"/>
    <x v="0"/>
    <x v="5"/>
    <n v="0.53252032520325199"/>
    <n v="1649.8782732386401"/>
  </r>
  <r>
    <s v="cc0f4a35-dd60-8dca-7616-6edd71ea63c3"/>
    <x v="32"/>
    <x v="40"/>
    <x v="0"/>
    <x v="0"/>
    <x v="4"/>
    <n v="1.70325203252032"/>
    <n v="1694.95320135165"/>
  </r>
  <r>
    <s v="cc136a29-9999-1d73-b217-1ee6865e9210"/>
    <x v="10"/>
    <x v="45"/>
    <x v="0"/>
    <x v="0"/>
    <x v="0"/>
    <n v="1.1544715447154399"/>
    <n v="1173.6716645070201"/>
  </r>
  <r>
    <s v="cc3a8413-692a-f431-c9de-020945e1c9d7"/>
    <x v="15"/>
    <x v="9"/>
    <x v="1"/>
    <x v="1"/>
    <x v="4"/>
    <n v="1.70325203252032"/>
    <n v="5789.5769943493897"/>
  </r>
  <r>
    <s v="cc3c67a3-2362-6973-83e2-f789248fc504"/>
    <x v="25"/>
    <x v="19"/>
    <x v="1"/>
    <x v="0"/>
    <x v="7"/>
    <n v="0.46341463414634099"/>
    <n v="1365.90788905309"/>
  </r>
  <r>
    <s v="cc3fb499-e7b7-82dc-0e75-6662843184e8"/>
    <x v="15"/>
    <x v="35"/>
    <x v="0"/>
    <x v="0"/>
    <x v="7"/>
    <n v="0.46341463414634099"/>
    <n v="423.360344358703"/>
  </r>
  <r>
    <s v="cc79e85c-e920-2aa0-2805-b0af9ebf4354"/>
    <x v="29"/>
    <x v="33"/>
    <x v="0"/>
    <x v="0"/>
    <x v="1"/>
    <n v="0.66666666666666596"/>
    <n v="738.261960922968"/>
  </r>
  <r>
    <s v="cc85d1a1-c73e-6b19-cd50-58a185e3df7e"/>
    <x v="13"/>
    <x v="8"/>
    <x v="1"/>
    <x v="0"/>
    <x v="8"/>
    <n v="0.19512195121951201"/>
    <n v="505.883195435152"/>
  </r>
  <r>
    <s v="cc93f682-aabc-4daa-eac1-a09f46bb746d"/>
    <x v="1"/>
    <x v="1"/>
    <x v="1"/>
    <x v="0"/>
    <x v="5"/>
    <n v="0.53252032520325199"/>
    <n v="1351.4367367049001"/>
  </r>
  <r>
    <s v="cc9ae4c0-40b7-afb3-7416-2df37cb5bdf0"/>
    <x v="1"/>
    <x v="16"/>
    <x v="0"/>
    <x v="0"/>
    <x v="9"/>
    <n v="1.61788617886178"/>
    <n v="1396.1416621640899"/>
  </r>
  <r>
    <s v="ccdb653c-49e7-b1b6-b4e5-441171b5ca58"/>
    <x v="22"/>
    <x v="3"/>
    <x v="1"/>
    <x v="0"/>
    <x v="0"/>
    <n v="1.1544715447154399"/>
    <n v="3476.3179678502602"/>
  </r>
  <r>
    <s v="cce6b24a-dde0-1f78-2cca-9aff7f88be57"/>
    <x v="30"/>
    <x v="28"/>
    <x v="0"/>
    <x v="0"/>
    <x v="0"/>
    <n v="1.1544715447154399"/>
    <n v="1047.19799200802"/>
  </r>
  <r>
    <s v="cd0cc20e-a521-0d68-8d01-62af221a0c58"/>
    <x v="34"/>
    <x v="11"/>
    <x v="0"/>
    <x v="0"/>
    <x v="1"/>
    <n v="0.66666666666666596"/>
    <n v="531.92054204358101"/>
  </r>
  <r>
    <s v="cd10e639-7b09-27f5-9897-ab368a719168"/>
    <x v="2"/>
    <x v="42"/>
    <x v="0"/>
    <x v="0"/>
    <x v="7"/>
    <n v="0.46341463414634099"/>
    <n v="448.19714443542301"/>
  </r>
  <r>
    <s v="cd8e8e76-2017-67a4-f0e9-6c4cdb140d71"/>
    <x v="1"/>
    <x v="40"/>
    <x v="1"/>
    <x v="0"/>
    <x v="1"/>
    <n v="0.66666666666666596"/>
    <n v="1909.7695097185999"/>
  </r>
  <r>
    <s v="cde514f8-7074-74e9-f7c4-f9ccb516d902"/>
    <x v="10"/>
    <x v="46"/>
    <x v="0"/>
    <x v="0"/>
    <x v="6"/>
    <n v="1.1341463414634101"/>
    <n v="944.44419120329599"/>
  </r>
  <r>
    <s v="cdfcd9af-2709-44e7-accd-8316d575b117"/>
    <x v="4"/>
    <x v="29"/>
    <x v="0"/>
    <x v="0"/>
    <x v="5"/>
    <n v="0.53252032520325199"/>
    <n v="493.47635412631001"/>
  </r>
  <r>
    <s v="ce826e89-11c9-f102-65fb-0d29f1f2bb4e"/>
    <x v="6"/>
    <x v="22"/>
    <x v="1"/>
    <x v="0"/>
    <x v="8"/>
    <n v="0.19512195121951201"/>
    <n v="524.23326028232498"/>
  </r>
  <r>
    <s v="ce8358a1-6096-703a-3860-33753ed38488"/>
    <x v="14"/>
    <x v="47"/>
    <x v="1"/>
    <x v="0"/>
    <x v="2"/>
    <n v="1.2073170731707299"/>
    <n v="2853.2001435924499"/>
  </r>
  <r>
    <s v="ce8ca2fd-46d7-38e1-e1a2-b792b12ca0ca"/>
    <x v="2"/>
    <x v="12"/>
    <x v="0"/>
    <x v="0"/>
    <x v="3"/>
    <n v="1.11788617886178"/>
    <n v="1161.0356752213099"/>
  </r>
  <r>
    <s v="cea6bd80-3815-1ca9-02af-b6c61015965b"/>
    <x v="6"/>
    <x v="30"/>
    <x v="0"/>
    <x v="0"/>
    <x v="3"/>
    <n v="1.11788617886178"/>
    <n v="904.74321664858803"/>
  </r>
  <r>
    <s v="ced26297-69b5-9644-95d1-3edbedf2ce1a"/>
    <x v="18"/>
    <x v="42"/>
    <x v="1"/>
    <x v="0"/>
    <x v="1"/>
    <n v="0.66666666666666596"/>
    <n v="1856.1005551461701"/>
  </r>
  <r>
    <s v="cedf5c79-f94e-f997-488b-b43271948896"/>
    <x v="49"/>
    <x v="6"/>
    <x v="1"/>
    <x v="0"/>
    <x v="6"/>
    <n v="1.1341463414634101"/>
    <n v="3135.2125735232198"/>
  </r>
  <r>
    <s v="cee3ebbe-1171-04cc-15d7-cc5f53ab5a76"/>
    <x v="2"/>
    <x v="40"/>
    <x v="1"/>
    <x v="0"/>
    <x v="5"/>
    <n v="0.53252032520325199"/>
    <n v="1525.48662056791"/>
  </r>
  <r>
    <s v="cf09b24f-5ba3-b3ed-c2b7-28699f72378a"/>
    <x v="1"/>
    <x v="17"/>
    <x v="0"/>
    <x v="0"/>
    <x v="9"/>
    <n v="1.61788617886178"/>
    <n v="1542.61510149898"/>
  </r>
  <r>
    <s v="cf3645c2-057a-ba49-d28a-7f022976c467"/>
    <x v="13"/>
    <x v="30"/>
    <x v="1"/>
    <x v="0"/>
    <x v="3"/>
    <n v="1.11788617886178"/>
    <n v="2604.4663720820599"/>
  </r>
  <r>
    <s v="cf4d360a-6b29-13d9-68ae-1116503f4bc9"/>
    <x v="6"/>
    <x v="35"/>
    <x v="0"/>
    <x v="0"/>
    <x v="5"/>
    <n v="0.53252032520325199"/>
    <n v="486.49302728938699"/>
  </r>
  <r>
    <s v="cf5305a8-9d03-52bc-cdb3-169996859366"/>
    <x v="6"/>
    <x v="23"/>
    <x v="0"/>
    <x v="0"/>
    <x v="8"/>
    <n v="0.19512195121951201"/>
    <n v="179.53181666099599"/>
  </r>
  <r>
    <s v="cf6d8c48-2303-1a9f-6d72-af33df5c6746"/>
    <x v="4"/>
    <x v="10"/>
    <x v="0"/>
    <x v="0"/>
    <x v="4"/>
    <n v="1.70325203252032"/>
    <n v="1438.7185622598599"/>
  </r>
  <r>
    <s v="cf96c58b-b136-71bb-85c7-05c6156494e7"/>
    <x v="2"/>
    <x v="14"/>
    <x v="0"/>
    <x v="0"/>
    <x v="6"/>
    <n v="1.1341463414634101"/>
    <n v="1014.20310695168"/>
  </r>
  <r>
    <s v="cf9ca02a-7cb0-a2eb-fba4-04e3bcace288"/>
    <x v="17"/>
    <x v="13"/>
    <x v="0"/>
    <x v="0"/>
    <x v="7"/>
    <n v="0.46341463414634099"/>
    <n v="397.06024170226499"/>
  </r>
  <r>
    <s v="cfddc79e-b76f-d2f0-7afa-940c7c2b3117"/>
    <x v="34"/>
    <x v="29"/>
    <x v="1"/>
    <x v="0"/>
    <x v="5"/>
    <n v="0.53252032520325199"/>
    <n v="1420.5606033726499"/>
  </r>
  <r>
    <s v="cfe16626-d0dd-584a-a249-a18f884bcc6f"/>
    <x v="17"/>
    <x v="6"/>
    <x v="0"/>
    <x v="0"/>
    <x v="8"/>
    <n v="0.19512195121951201"/>
    <n v="187.37455203808699"/>
  </r>
  <r>
    <s v="d018eaf3-10f1-093a-446e-b3885070b31c"/>
    <x v="20"/>
    <x v="7"/>
    <x v="0"/>
    <x v="0"/>
    <x v="9"/>
    <n v="1.61788617886178"/>
    <n v="1728.9219877114799"/>
  </r>
  <r>
    <s v="d0251298-eeaa-f303-53b6-79d9cd2b78c6"/>
    <x v="1"/>
    <x v="15"/>
    <x v="0"/>
    <x v="0"/>
    <x v="2"/>
    <n v="1.2073170731707299"/>
    <n v="1218.6805090272501"/>
  </r>
  <r>
    <s v="d031a9b5-2ef5-923d-5224-c6dada851ec3"/>
    <x v="1"/>
    <x v="17"/>
    <x v="1"/>
    <x v="0"/>
    <x v="7"/>
    <n v="0.46341463414634099"/>
    <n v="1271.9580157984999"/>
  </r>
  <r>
    <s v="d04faf15-933d-d054-fb73-a350fb84bf74"/>
    <x v="14"/>
    <x v="41"/>
    <x v="0"/>
    <x v="0"/>
    <x v="2"/>
    <n v="1.2073170731707299"/>
    <n v="1176.02227258382"/>
  </r>
  <r>
    <s v="d0671609-4121-466f-e020-7d68f244a2b0"/>
    <x v="39"/>
    <x v="14"/>
    <x v="1"/>
    <x v="0"/>
    <x v="9"/>
    <n v="1.61788617886178"/>
    <n v="4164.8294732904897"/>
  </r>
  <r>
    <s v="d06f4983-4c94-25dc-1306-fc9e3ca938b8"/>
    <x v="25"/>
    <x v="28"/>
    <x v="1"/>
    <x v="0"/>
    <x v="8"/>
    <n v="0.19512195121951201"/>
    <n v="509.50108925944699"/>
  </r>
  <r>
    <s v="d08fdc7f-3ea7-0497-e7eb-7962432a7784"/>
    <x v="29"/>
    <x v="32"/>
    <x v="1"/>
    <x v="0"/>
    <x v="3"/>
    <n v="1.11788617886178"/>
    <n v="2796.8385121320898"/>
  </r>
  <r>
    <s v="d0930353-81af-5d6a-59a3-571df4bd3f57"/>
    <x v="48"/>
    <x v="16"/>
    <x v="1"/>
    <x v="0"/>
    <x v="2"/>
    <n v="1.2073170731707299"/>
    <n v="2999.1368500216099"/>
  </r>
  <r>
    <s v="d11d684e-3f12-6a58-d313-17ff2e9ae11e"/>
    <x v="15"/>
    <x v="46"/>
    <x v="1"/>
    <x v="0"/>
    <x v="7"/>
    <n v="0.46341463414634099"/>
    <n v="1110.8882330710201"/>
  </r>
  <r>
    <s v="d1794aa9-0605-4818-8827-4e8eddb6adf4"/>
    <x v="24"/>
    <x v="19"/>
    <x v="0"/>
    <x v="0"/>
    <x v="1"/>
    <n v="0.66666666666666596"/>
    <n v="682.60111193022396"/>
  </r>
  <r>
    <s v="d1b07e1c-66e7-d756-a85f-f825557088ef"/>
    <x v="22"/>
    <x v="46"/>
    <x v="0"/>
    <x v="0"/>
    <x v="0"/>
    <n v="1.1544715447154399"/>
    <n v="961.36971434314"/>
  </r>
  <r>
    <s v="d1c231c7-8ec7-b4d5-291f-318e9fd66da3"/>
    <x v="25"/>
    <x v="26"/>
    <x v="0"/>
    <x v="0"/>
    <x v="5"/>
    <n v="0.53252032520325199"/>
    <n v="561.01425138162006"/>
  </r>
  <r>
    <s v="d1ee3a71-6a27-4c29-b73c-df225747be15"/>
    <x v="28"/>
    <x v="22"/>
    <x v="0"/>
    <x v="0"/>
    <x v="3"/>
    <n v="1.11788617886178"/>
    <n v="1043.33219575371"/>
  </r>
  <r>
    <s v="d2002d1f-c3de-3cd7-3675-a7afa4d8fb05"/>
    <x v="17"/>
    <x v="35"/>
    <x v="1"/>
    <x v="0"/>
    <x v="2"/>
    <n v="1.2073170731707299"/>
    <n v="3175.0838023974802"/>
  </r>
  <r>
    <s v="d209bd67-9a89-0808-12c5-9cc4512fb12f"/>
    <x v="15"/>
    <x v="13"/>
    <x v="1"/>
    <x v="0"/>
    <x v="4"/>
    <n v="1.70325203252032"/>
    <n v="4201.0610517374898"/>
  </r>
  <r>
    <s v="d213b76d-993f-f3f5-04b2-5dfb8da6c415"/>
    <x v="6"/>
    <x v="31"/>
    <x v="1"/>
    <x v="0"/>
    <x v="5"/>
    <n v="0.53252032520325199"/>
    <n v="1661.6776065026199"/>
  </r>
  <r>
    <s v="d2197311-2cbd-2994-1864-7aedd4d45afd"/>
    <x v="31"/>
    <x v="31"/>
    <x v="0"/>
    <x v="0"/>
    <x v="1"/>
    <n v="0.66666666666666596"/>
    <n v="722.64649543169298"/>
  </r>
  <r>
    <s v="d2438821-dcfd-ed7a-c065-2cb6548d3d30"/>
    <x v="22"/>
    <x v="7"/>
    <x v="0"/>
    <x v="0"/>
    <x v="9"/>
    <n v="1.61788617886178"/>
    <n v="1728.9219877114799"/>
  </r>
  <r>
    <s v="d24cd9d0-5eb9-1d7c-67ac-7ce488099a0d"/>
    <x v="6"/>
    <x v="13"/>
    <x v="1"/>
    <x v="0"/>
    <x v="0"/>
    <n v="1.1544715447154399"/>
    <n v="2847.4972283853199"/>
  </r>
  <r>
    <s v="d26a414e-d23f-c040-54ca-31ebf58ebf29"/>
    <x v="26"/>
    <x v="13"/>
    <x v="0"/>
    <x v="0"/>
    <x v="8"/>
    <n v="0.19512195121951201"/>
    <n v="167.18325966411101"/>
  </r>
  <r>
    <s v="d274a471-2767-2e72-d15a-5c6b7e336f05"/>
    <x v="14"/>
    <x v="32"/>
    <x v="0"/>
    <x v="0"/>
    <x v="1"/>
    <n v="0.66666666666666596"/>
    <n v="579.40885304094297"/>
  </r>
  <r>
    <s v="d2b69625-7897-1cfd-8f40-c767620272b2"/>
    <x v="43"/>
    <x v="35"/>
    <x v="0"/>
    <x v="0"/>
    <x v="1"/>
    <n v="0.66666666666666596"/>
    <n v="609.04470591953805"/>
  </r>
  <r>
    <s v="d30235cc-d10f-9c2e-cac4-2130c589ce6b"/>
    <x v="28"/>
    <x v="35"/>
    <x v="1"/>
    <x v="0"/>
    <x v="9"/>
    <n v="1.61788617886178"/>
    <n v="4254.8261055696903"/>
  </r>
  <r>
    <s v="d30cc7a6-74a8-7ebd-0aab-b168b4a9caad"/>
    <x v="27"/>
    <x v="5"/>
    <x v="0"/>
    <x v="0"/>
    <x v="6"/>
    <n v="1.1341463414634101"/>
    <n v="1169.55920204167"/>
  </r>
  <r>
    <s v="d357afb2-5fcd-d3a4-f382-2c0a7a5df8e9"/>
    <x v="26"/>
    <x v="6"/>
    <x v="1"/>
    <x v="0"/>
    <x v="9"/>
    <n v="1.61788617886178"/>
    <n v="4472.4537787177196"/>
  </r>
  <r>
    <s v="d35a7602-bffe-8bc4-da87-615903190c7b"/>
    <x v="21"/>
    <x v="28"/>
    <x v="0"/>
    <x v="0"/>
    <x v="6"/>
    <n v="1.1341463414634101"/>
    <n v="1028.7614076416801"/>
  </r>
  <r>
    <s v="d3a8b768-26a3-324e-d5c2-d3adc2cefd2e"/>
    <x v="15"/>
    <x v="39"/>
    <x v="1"/>
    <x v="0"/>
    <x v="6"/>
    <n v="1.1341463414634101"/>
    <n v="3225.8669191171698"/>
  </r>
  <r>
    <s v="d3ac4922-e6ee-f742-d58a-89b476acfa86"/>
    <x v="21"/>
    <x v="25"/>
    <x v="0"/>
    <x v="0"/>
    <x v="3"/>
    <n v="1.11788617886178"/>
    <n v="992.56410080709202"/>
  </r>
  <r>
    <s v="d3ad9b91-4918-d339-cae4-0aa5b3fd1555"/>
    <x v="4"/>
    <x v="46"/>
    <x v="1"/>
    <x v="0"/>
    <x v="3"/>
    <n v="1.11788617886178"/>
    <n v="2679.7742464432699"/>
  </r>
  <r>
    <s v="d3adbc67-0f8c-257c-c77e-7c29ad0a9f9d"/>
    <x v="6"/>
    <x v="5"/>
    <x v="0"/>
    <x v="0"/>
    <x v="7"/>
    <n v="0.46341463414634099"/>
    <n v="477.88440513530702"/>
  </r>
  <r>
    <s v="d3b39a71-058b-bdc1-f282-76c99aeb30c7"/>
    <x v="6"/>
    <x v="11"/>
    <x v="0"/>
    <x v="0"/>
    <x v="2"/>
    <n v="1.2073170731707299"/>
    <n v="963.29512796916799"/>
  </r>
  <r>
    <s v="d3f48aa7-c932-3dda-91cd-ec67cc8f4617"/>
    <x v="30"/>
    <x v="16"/>
    <x v="0"/>
    <x v="0"/>
    <x v="2"/>
    <n v="1.2073170731707299"/>
    <n v="1041.8444061877699"/>
  </r>
  <r>
    <s v="d3f77a22-94bb-5999-deb4-45eb649b6e04"/>
    <x v="14"/>
    <x v="22"/>
    <x v="0"/>
    <x v="0"/>
    <x v="8"/>
    <n v="0.19512195121951201"/>
    <n v="182.108892349738"/>
  </r>
  <r>
    <s v="d3f8fc1c-7b73-3edb-3567-3171f391555f"/>
    <x v="1"/>
    <x v="5"/>
    <x v="1"/>
    <x v="0"/>
    <x v="2"/>
    <n v="1.2073170731707299"/>
    <n v="3583.99896065342"/>
  </r>
  <r>
    <s v="d40e98a4-6185-83a6-4420-fe943f517c2c"/>
    <x v="19"/>
    <x v="8"/>
    <x v="0"/>
    <x v="0"/>
    <x v="3"/>
    <n v="1.11788617886178"/>
    <n v="1006.81178604351"/>
  </r>
  <r>
    <s v="d4417598-8164-ac0d-6467-cbb89e22d467"/>
    <x v="4"/>
    <x v="12"/>
    <x v="0"/>
    <x v="0"/>
    <x v="7"/>
    <n v="0.46341463414634099"/>
    <n v="481.30206172810699"/>
  </r>
  <r>
    <s v="d464e05e-4a70-3eb4-81ce-e7b656115390"/>
    <x v="22"/>
    <x v="33"/>
    <x v="1"/>
    <x v="0"/>
    <x v="7"/>
    <n v="0.46341463414634099"/>
    <n v="1477.28712858523"/>
  </r>
  <r>
    <s v="d48f135d-5ff8-e222-b934-4db46616bb7f"/>
    <x v="17"/>
    <x v="19"/>
    <x v="0"/>
    <x v="0"/>
    <x v="6"/>
    <n v="1.1341463414634101"/>
    <n v="1161.2543306617799"/>
  </r>
  <r>
    <s v="d4c72a4f-9e4a-5e5a-b9cc-074f7ed5b380"/>
    <x v="24"/>
    <x v="11"/>
    <x v="1"/>
    <x v="0"/>
    <x v="9"/>
    <n v="1.61788617886178"/>
    <n v="3716.0316580681501"/>
  </r>
  <r>
    <s v="d4fabd8f-4e63-0170-37c8-2952767f078d"/>
    <x v="49"/>
    <x v="16"/>
    <x v="1"/>
    <x v="0"/>
    <x v="8"/>
    <n v="0.19512195121951201"/>
    <n v="484.70898586207898"/>
  </r>
  <r>
    <s v="d507ff8c-7cbf-ff5e-39db-e1ae97cfcb6c"/>
    <x v="13"/>
    <x v="31"/>
    <x v="1"/>
    <x v="0"/>
    <x v="6"/>
    <n v="1.1341463414634101"/>
    <n v="3538.9927649941401"/>
  </r>
  <r>
    <s v="d60a36cc-a2c6-8efe-3a6c-6a8f8afdcb20"/>
    <x v="13"/>
    <x v="8"/>
    <x v="0"/>
    <x v="0"/>
    <x v="9"/>
    <n v="1.61788617886178"/>
    <n v="1457.13123943752"/>
  </r>
  <r>
    <s v="d6204dde-cbb0-617b-b683-2ef61e4c2b2a"/>
    <x v="6"/>
    <x v="32"/>
    <x v="1"/>
    <x v="0"/>
    <x v="2"/>
    <n v="1.2073170731707299"/>
    <n v="3020.5855931026499"/>
  </r>
  <r>
    <s v="d63db28a-2f15-36a9-0d83-0d3be6b85f33"/>
    <x v="13"/>
    <x v="4"/>
    <x v="1"/>
    <x v="1"/>
    <x v="6"/>
    <n v="1.1341463414634101"/>
    <n v="3827.73753174176"/>
  </r>
  <r>
    <s v="d650bc37-512b-fc68-8df0-86c548999d3a"/>
    <x v="28"/>
    <x v="27"/>
    <x v="0"/>
    <x v="0"/>
    <x v="5"/>
    <n v="0.53252032520325199"/>
    <n v="573.13705103254802"/>
  </r>
  <r>
    <s v="d65f2231-4ef2-cb25-a809-49bcd6594c33"/>
    <x v="6"/>
    <x v="45"/>
    <x v="0"/>
    <x v="0"/>
    <x v="2"/>
    <n v="1.2073170731707299"/>
    <n v="1227.39607168516"/>
  </r>
  <r>
    <s v="d6804d58-d789-43ee-5f76-7cdd2c85c979"/>
    <x v="6"/>
    <x v="15"/>
    <x v="0"/>
    <x v="0"/>
    <x v="9"/>
    <n v="1.61788617886178"/>
    <n v="1633.11394812406"/>
  </r>
  <r>
    <s v="d6b25a9e-be8d-8107-f7fe-e5752d61efbd"/>
    <x v="4"/>
    <x v="6"/>
    <x v="0"/>
    <x v="0"/>
    <x v="8"/>
    <n v="0.19512195121951201"/>
    <n v="187.37455203808699"/>
  </r>
  <r>
    <s v="d6c47782-b2b4-9305-4b5a-33df7e2b94f5"/>
    <x v="36"/>
    <x v="12"/>
    <x v="1"/>
    <x v="0"/>
    <x v="9"/>
    <n v="1.61788617886178"/>
    <n v="4837.1478438948097"/>
  </r>
  <r>
    <s v="d6ed421a-c011-85ee-ba1d-953369f8c5e5"/>
    <x v="4"/>
    <x v="21"/>
    <x v="1"/>
    <x v="0"/>
    <x v="6"/>
    <n v="1.1341463414634101"/>
    <n v="3272.17237832207"/>
  </r>
  <r>
    <s v="d71b1a35-c6b3-1c90-99c6-99c7e6e46f87"/>
    <x v="6"/>
    <x v="42"/>
    <x v="1"/>
    <x v="0"/>
    <x v="6"/>
    <n v="1.1341463414634101"/>
    <n v="3157.6344810108599"/>
  </r>
  <r>
    <s v="d73e5699-8d09-f3b7-a3f4-09997ea2322d"/>
    <x v="49"/>
    <x v="13"/>
    <x v="1"/>
    <x v="0"/>
    <x v="1"/>
    <n v="0.66666666666666596"/>
    <n v="1644.3293854056001"/>
  </r>
  <r>
    <s v="d7aab1ea-7bef-117b-6eda-e22e48143536"/>
    <x v="27"/>
    <x v="10"/>
    <x v="1"/>
    <x v="0"/>
    <x v="8"/>
    <n v="0.19512195121951201"/>
    <n v="474.456586520553"/>
  </r>
  <r>
    <s v="d7db85b5-80f7-1343-de27-2eec51cff682"/>
    <x v="6"/>
    <x v="0"/>
    <x v="1"/>
    <x v="0"/>
    <x v="4"/>
    <n v="1.70325203252032"/>
    <n v="4291.8406020360899"/>
  </r>
  <r>
    <s v="d7e4c938-4319-945a-6d30-964ea12336b2"/>
    <x v="2"/>
    <x v="26"/>
    <x v="1"/>
    <x v="0"/>
    <x v="2"/>
    <n v="1.2073170731707299"/>
    <n v="3661.4445892486701"/>
  </r>
  <r>
    <s v="d80f27f0-b029-29a8-e430-73ea3e8f01a7"/>
    <x v="13"/>
    <x v="45"/>
    <x v="0"/>
    <x v="0"/>
    <x v="7"/>
    <n v="0.46341463414634099"/>
    <n v="471.12172448521397"/>
  </r>
  <r>
    <s v="d83f7c11-0f41-a888-ceb4-9619b6dfd640"/>
    <x v="0"/>
    <x v="46"/>
    <x v="0"/>
    <x v="0"/>
    <x v="8"/>
    <n v="0.19512195121951201"/>
    <n v="162.485022142502"/>
  </r>
  <r>
    <s v="d84da080-90d7-01ff-50b2-12e1749ec770"/>
    <x v="17"/>
    <x v="13"/>
    <x v="0"/>
    <x v="0"/>
    <x v="7"/>
    <n v="0.46341463414634099"/>
    <n v="397.06024170226499"/>
  </r>
  <r>
    <s v="d8ac7340-b39a-0c29-4534-a37da8bc3adc"/>
    <x v="17"/>
    <x v="23"/>
    <x v="0"/>
    <x v="0"/>
    <x v="8"/>
    <n v="0.19512195121951201"/>
    <n v="179.53181666099599"/>
  </r>
  <r>
    <s v="d8ccdb53-f069-3bab-0207-a13bc68f0903"/>
    <x v="13"/>
    <x v="36"/>
    <x v="1"/>
    <x v="0"/>
    <x v="8"/>
    <n v="0.19512195121951201"/>
    <n v="551.04696824390396"/>
  </r>
  <r>
    <s v="d8e148fe-f44d-ffcd-6d79-2140adde328a"/>
    <x v="12"/>
    <x v="36"/>
    <x v="0"/>
    <x v="0"/>
    <x v="9"/>
    <n v="1.61788617886178"/>
    <n v="1587.21965677244"/>
  </r>
  <r>
    <s v="d9168182-1d30-e35d-ed53-d382c1726db6"/>
    <x v="2"/>
    <x v="45"/>
    <x v="1"/>
    <x v="0"/>
    <x v="8"/>
    <n v="0.19512195121951201"/>
    <n v="571.03527323674996"/>
  </r>
  <r>
    <s v="d93403a8-449d-ab30-ef54-043e61e76cc6"/>
    <x v="15"/>
    <x v="10"/>
    <x v="1"/>
    <x v="0"/>
    <x v="1"/>
    <n v="0.66666666666666596"/>
    <n v="1621.0600039452199"/>
  </r>
  <r>
    <s v="d9528592-35f0-499d-fa9a-da0c30edd5d3"/>
    <x v="1"/>
    <x v="35"/>
    <x v="1"/>
    <x v="0"/>
    <x v="4"/>
    <n v="1.70325203252032"/>
    <n v="4479.3269804866804"/>
  </r>
  <r>
    <s v="d958e804-c067-973c-63a6-1c1b4b7e305d"/>
    <x v="28"/>
    <x v="39"/>
    <x v="1"/>
    <x v="0"/>
    <x v="6"/>
    <n v="1.1341463414634101"/>
    <n v="3225.8669191171698"/>
  </r>
  <r>
    <s v="d96b7a01-70f2-a3b9-d85f-4b60f4431cca"/>
    <x v="28"/>
    <x v="34"/>
    <x v="0"/>
    <x v="0"/>
    <x v="0"/>
    <n v="1.1544715447154399"/>
    <n v="1092.9441828029801"/>
  </r>
  <r>
    <s v="d9727550-6669-37f8-1697-6f91d70f0660"/>
    <x v="6"/>
    <x v="15"/>
    <x v="1"/>
    <x v="0"/>
    <x v="7"/>
    <n v="0.46341463414634099"/>
    <n v="1346.5785308404199"/>
  </r>
  <r>
    <s v="d98a2909-09cd-8a44-4d13-992a68048021"/>
    <x v="30"/>
    <x v="38"/>
    <x v="1"/>
    <x v="0"/>
    <x v="6"/>
    <n v="1.1341463414634101"/>
    <n v="3068.8976252513899"/>
  </r>
  <r>
    <s v="d9948e9e-595e-5017-3afd-1a1b6230520a"/>
    <x v="6"/>
    <x v="36"/>
    <x v="1"/>
    <x v="0"/>
    <x v="0"/>
    <n v="1.1544715447154399"/>
    <n v="3260.3612287764299"/>
  </r>
  <r>
    <s v="d9b630fd-8e6c-0056-ed20-b937d342f286"/>
    <x v="1"/>
    <x v="32"/>
    <x v="0"/>
    <x v="0"/>
    <x v="4"/>
    <n v="1.70325203252032"/>
    <n v="1480.3189599033799"/>
  </r>
  <r>
    <s v="d9cc531e-2299-7248-d09b-36294ff6e4da"/>
    <x v="6"/>
    <x v="47"/>
    <x v="0"/>
    <x v="0"/>
    <x v="4"/>
    <n v="1.70325203252032"/>
    <n v="1398.2872323179399"/>
  </r>
  <r>
    <s v="d9cd5920-684c-b694-1e9e-18c536edeed4"/>
    <x v="30"/>
    <x v="4"/>
    <x v="1"/>
    <x v="0"/>
    <x v="7"/>
    <n v="0.46341463414634099"/>
    <n v="1456.3816104897301"/>
  </r>
  <r>
    <s v="d9d028ea-b09c-7d11-62e8-fdb6da944ee5"/>
    <x v="18"/>
    <x v="45"/>
    <x v="0"/>
    <x v="0"/>
    <x v="7"/>
    <n v="0.46341463414634099"/>
    <n v="471.12172448521397"/>
  </r>
  <r>
    <s v="d9d4aaa6-9843-70a5-feb6-b39e70c377c1"/>
    <x v="28"/>
    <x v="7"/>
    <x v="0"/>
    <x v="0"/>
    <x v="4"/>
    <n v="1.70325203252032"/>
    <n v="1820.14651470128"/>
  </r>
  <r>
    <s v="d9dc9602-1f76-bbf5-8109-aed5d876bdba"/>
    <x v="17"/>
    <x v="2"/>
    <x v="1"/>
    <x v="0"/>
    <x v="0"/>
    <n v="1.1544715447154399"/>
    <n v="2827.2775608430002"/>
  </r>
  <r>
    <s v="d9dcfeff-031a-c431-9e23-5c5dc897a60a"/>
    <x v="17"/>
    <x v="36"/>
    <x v="1"/>
    <x v="0"/>
    <x v="8"/>
    <n v="0.19512195121951201"/>
    <n v="551.04696824390396"/>
  </r>
  <r>
    <s v="d9e0bb70-0724-fae0-6867-6ad00c41e73a"/>
    <x v="15"/>
    <x v="7"/>
    <x v="1"/>
    <x v="0"/>
    <x v="2"/>
    <n v="1.2073170731707299"/>
    <n v="3714.0025147023298"/>
  </r>
  <r>
    <s v="d9ed512c-c108-4788-5a9a-00aac991ea47"/>
    <x v="23"/>
    <x v="29"/>
    <x v="1"/>
    <x v="0"/>
    <x v="5"/>
    <n v="0.53252032520325199"/>
    <n v="1420.5606033726499"/>
  </r>
  <r>
    <s v="da0cffb9-e3ad-a51b-7402-5c9a088cdc00"/>
    <x v="6"/>
    <x v="29"/>
    <x v="1"/>
    <x v="0"/>
    <x v="6"/>
    <n v="1.1341463414634101"/>
    <n v="3025.4687659616102"/>
  </r>
  <r>
    <s v="da3f0a38-9e65-e012-fb8f-41bf02c16d2c"/>
    <x v="6"/>
    <x v="24"/>
    <x v="1"/>
    <x v="0"/>
    <x v="9"/>
    <n v="1.61788617886178"/>
    <n v="3689.64465268186"/>
  </r>
  <r>
    <s v="da585c1d-1d34-c1a2-1fb0-30492dcea3e2"/>
    <x v="6"/>
    <x v="46"/>
    <x v="0"/>
    <x v="0"/>
    <x v="6"/>
    <n v="1.1341463414634101"/>
    <n v="944.44419120329599"/>
  </r>
  <r>
    <s v="da5a72fe-527b-5480-247d-0d0c56efb024"/>
    <x v="28"/>
    <x v="27"/>
    <x v="1"/>
    <x v="0"/>
    <x v="9"/>
    <n v="1.61788617886178"/>
    <n v="5012.6072728929903"/>
  </r>
  <r>
    <s v="da7676c9-a900-d178-6c3d-a31238e70f72"/>
    <x v="21"/>
    <x v="38"/>
    <x v="0"/>
    <x v="0"/>
    <x v="0"/>
    <n v="1.1544715447154399"/>
    <n v="1085.1833436357699"/>
  </r>
  <r>
    <s v="da9af899-641f-c16b-61b6-2e2c3616bb72"/>
    <x v="13"/>
    <x v="1"/>
    <x v="1"/>
    <x v="0"/>
    <x v="9"/>
    <n v="1.61788617886178"/>
    <n v="4105.8917649507803"/>
  </r>
  <r>
    <s v="daacbe47-ede4-d540-db43-4197925b01e1"/>
    <x v="14"/>
    <x v="38"/>
    <x v="1"/>
    <x v="0"/>
    <x v="7"/>
    <n v="0.46341463414634099"/>
    <n v="1253.95816945755"/>
  </r>
  <r>
    <s v="daaf40fe-5a18-d8ca-73c3-5b87a0e0ac12"/>
    <x v="14"/>
    <x v="20"/>
    <x v="0"/>
    <x v="0"/>
    <x v="2"/>
    <n v="1.2073170731707299"/>
    <n v="1012.56616092168"/>
  </r>
  <r>
    <s v="dab8a45d-79c5-5613-992b-e0dadc1b93d3"/>
    <x v="1"/>
    <x v="5"/>
    <x v="1"/>
    <x v="0"/>
    <x v="2"/>
    <n v="1.2073170731707299"/>
    <n v="3583.99896065342"/>
  </r>
  <r>
    <s v="dad720c0-f4b5-1d6b-8881-1348cd35fa60"/>
    <x v="2"/>
    <x v="34"/>
    <x v="1"/>
    <x v="0"/>
    <x v="7"/>
    <n v="0.46341463414634099"/>
    <n v="1262.92602519607"/>
  </r>
  <r>
    <s v="db0c8693-3089-0fb0-5cc4-1180c28579c0"/>
    <x v="3"/>
    <x v="3"/>
    <x v="1"/>
    <x v="0"/>
    <x v="1"/>
    <n v="0.66666666666666596"/>
    <n v="2007.4512208712799"/>
  </r>
  <r>
    <s v="db0f3d82-afcf-1e86-3036-ee50e82f476c"/>
    <x v="47"/>
    <x v="3"/>
    <x v="0"/>
    <x v="0"/>
    <x v="0"/>
    <n v="1.1544715447154399"/>
    <n v="1207.6082586590701"/>
  </r>
  <r>
    <s v="db78d385-a5e0-0d2e-6c4c-fb5a5a7fb52a"/>
    <x v="50"/>
    <x v="26"/>
    <x v="0"/>
    <x v="0"/>
    <x v="1"/>
    <n v="0.66666666666666596"/>
    <n v="702.33845211134098"/>
  </r>
  <r>
    <s v="db7c9ae1-9097-83a3-8d09-22b84b122748"/>
    <x v="13"/>
    <x v="38"/>
    <x v="1"/>
    <x v="0"/>
    <x v="1"/>
    <n v="0.66666666666666596"/>
    <n v="1803.93982272841"/>
  </r>
  <r>
    <s v="db8a4375-6ece-861e-8387-be9d5a2f6ffc"/>
    <x v="5"/>
    <x v="33"/>
    <x v="0"/>
    <x v="0"/>
    <x v="6"/>
    <n v="1.1341463414634101"/>
    <n v="1255.9456530335799"/>
  </r>
  <r>
    <s v="dbb45146-28f1-b455-ab00-9a856d4fb48d"/>
    <x v="1"/>
    <x v="2"/>
    <x v="1"/>
    <x v="0"/>
    <x v="4"/>
    <n v="1.70325203252032"/>
    <n v="4171.2299225113402"/>
  </r>
  <r>
    <s v="dbb735fc-d7f6-c851-5705-39864146ca96"/>
    <x v="29"/>
    <x v="43"/>
    <x v="1"/>
    <x v="0"/>
    <x v="6"/>
    <n v="1.1341463414634101"/>
    <n v="2623.58657609383"/>
  </r>
  <r>
    <s v="dbcdc108-377f-ae65-5db3-0a4f131a6b5a"/>
    <x v="17"/>
    <x v="0"/>
    <x v="0"/>
    <x v="0"/>
    <x v="4"/>
    <n v="1.70325203252032"/>
    <n v="1490.9056662248099"/>
  </r>
  <r>
    <s v="dbdde473-b5fe-77c4-27b7-af3c8661f3c2"/>
    <x v="6"/>
    <x v="2"/>
    <x v="1"/>
    <x v="0"/>
    <x v="5"/>
    <n v="0.53252032520325199"/>
    <n v="1304.1315509522301"/>
  </r>
  <r>
    <s v="dc936d66-115a-2261-d390-a4e1ebdc4dc8"/>
    <x v="17"/>
    <x v="16"/>
    <x v="0"/>
    <x v="0"/>
    <x v="9"/>
    <n v="1.61788617886178"/>
    <n v="1396.1416621640899"/>
  </r>
  <r>
    <s v="dccea061-9210-ad58-77a9-27fa0f7f4ee0"/>
    <x v="27"/>
    <x v="28"/>
    <x v="1"/>
    <x v="0"/>
    <x v="4"/>
    <n v="1.70325203252032"/>
    <n v="4447.5199249939196"/>
  </r>
  <r>
    <s v="dce29199-c1b9-e240-38af-58bef1155e65"/>
    <x v="2"/>
    <x v="28"/>
    <x v="1"/>
    <x v="0"/>
    <x v="7"/>
    <n v="0.46341463414634099"/>
    <n v="1210.0650869911799"/>
  </r>
  <r>
    <s v="dcf8ab1b-090e-a686-18ae-f72edf044c58"/>
    <x v="22"/>
    <x v="9"/>
    <x v="0"/>
    <x v="0"/>
    <x v="6"/>
    <n v="1.1341463414634101"/>
    <n v="1247.0273639120401"/>
  </r>
  <r>
    <s v="dd1d0576-37c6-51f4-4340-0f19392f81b4"/>
    <x v="13"/>
    <x v="35"/>
    <x v="0"/>
    <x v="0"/>
    <x v="0"/>
    <n v="1.1544715447154399"/>
    <n v="1054.6871736655401"/>
  </r>
  <r>
    <s v="dd1d5c30-f330-a98f-ad38-8d50a9a33b65"/>
    <x v="4"/>
    <x v="7"/>
    <x v="0"/>
    <x v="0"/>
    <x v="9"/>
    <n v="1.61788617886178"/>
    <n v="1728.9219877114799"/>
  </r>
  <r>
    <s v="dd36f74e-b035-0276-3dbe-3a1f015498d5"/>
    <x v="17"/>
    <x v="4"/>
    <x v="0"/>
    <x v="0"/>
    <x v="5"/>
    <n v="0.53252032520325199"/>
    <n v="581.36410286104001"/>
  </r>
  <r>
    <s v="dd5a0eb8-a9ee-c6b0-e920-c7e9b3189456"/>
    <x v="14"/>
    <x v="1"/>
    <x v="1"/>
    <x v="0"/>
    <x v="4"/>
    <n v="1.70325203252032"/>
    <n v="4322.5342952622595"/>
  </r>
  <r>
    <s v="dd6adcf1-97f7-8d15-a727-966acd9991b3"/>
    <x v="6"/>
    <x v="34"/>
    <x v="1"/>
    <x v="0"/>
    <x v="5"/>
    <n v="0.53252032520325199"/>
    <n v="1451.2570991288201"/>
  </r>
  <r>
    <s v="dd8d1022-d519-3cb6-f6ed-9f40cc1c5dab"/>
    <x v="9"/>
    <x v="27"/>
    <x v="1"/>
    <x v="0"/>
    <x v="0"/>
    <n v="1.1544715447154399"/>
    <n v="3576.8353404562999"/>
  </r>
  <r>
    <s v="ddbe06e8-3b3d-31ce-458a-428df279d9e9"/>
    <x v="15"/>
    <x v="22"/>
    <x v="1"/>
    <x v="0"/>
    <x v="1"/>
    <n v="0.66666666666666596"/>
    <n v="1791.13030596461"/>
  </r>
  <r>
    <s v="ddeb5fc1-b721-f80f-298d-9ffcd89a8845"/>
    <x v="2"/>
    <x v="43"/>
    <x v="1"/>
    <x v="0"/>
    <x v="2"/>
    <n v="1.2073170731707299"/>
    <n v="2792.8502261643998"/>
  </r>
  <r>
    <s v="de071817-8bd5-d76f-e77e-24468c037a16"/>
    <x v="15"/>
    <x v="1"/>
    <x v="0"/>
    <x v="0"/>
    <x v="0"/>
    <n v="1.1544715447154399"/>
    <n v="1017.76929855815"/>
  </r>
  <r>
    <s v="de15dca2-4897-25bb-278d-215175798d81"/>
    <x v="2"/>
    <x v="14"/>
    <x v="0"/>
    <x v="0"/>
    <x v="3"/>
    <n v="1.11788617886178"/>
    <n v="999.66256061546301"/>
  </r>
  <r>
    <s v="de553df9-58a4-8206-669e-e28db9416ebc"/>
    <x v="22"/>
    <x v="46"/>
    <x v="0"/>
    <x v="0"/>
    <x v="0"/>
    <n v="1.1544715447154399"/>
    <n v="961.36971434314"/>
  </r>
  <r>
    <s v="de84a263-6e62-3626-a106-0c5f776d56dd"/>
    <x v="36"/>
    <x v="42"/>
    <x v="1"/>
    <x v="0"/>
    <x v="5"/>
    <n v="0.53252032520325199"/>
    <n v="1482.6169068545601"/>
  </r>
  <r>
    <s v="de9c424a-ee2f-af5c-6617-a29ca32d4573"/>
    <x v="21"/>
    <x v="26"/>
    <x v="0"/>
    <x v="0"/>
    <x v="7"/>
    <n v="0.46341463414634099"/>
    <n v="488.21087524812702"/>
  </r>
  <r>
    <s v="dedefd6a-2950-d08a-16f0-4feeb1796c0d"/>
    <x v="7"/>
    <x v="33"/>
    <x v="1"/>
    <x v="0"/>
    <x v="6"/>
    <n v="1.1341463414634101"/>
    <n v="3615.4658673270201"/>
  </r>
  <r>
    <s v="df030b6b-36b7-471e-593a-69e49e44efc2"/>
    <x v="21"/>
    <x v="9"/>
    <x v="0"/>
    <x v="0"/>
    <x v="7"/>
    <n v="0.46341463414634099"/>
    <n v="509.53806267373602"/>
  </r>
  <r>
    <s v="df08f5f1-77b3-7fca-1ced-e38e998bc68e"/>
    <x v="15"/>
    <x v="47"/>
    <x v="1"/>
    <x v="0"/>
    <x v="5"/>
    <n v="0.53252032520325199"/>
    <n v="1258.4822182175401"/>
  </r>
  <r>
    <s v="df54a1e7-26f4-c51c-4b41-109769b91c05"/>
    <x v="45"/>
    <x v="26"/>
    <x v="0"/>
    <x v="1"/>
    <x v="6"/>
    <n v="1.1341463414634101"/>
    <n v="1283.1410923702499"/>
  </r>
  <r>
    <s v="df5bd2b0-8c76-9289-f1b7-3882d6ed4a4c"/>
    <x v="38"/>
    <x v="39"/>
    <x v="1"/>
    <x v="0"/>
    <x v="3"/>
    <n v="1.11788617886178"/>
    <n v="3179.6179310294701"/>
  </r>
  <r>
    <s v="df7ec405-a83c-37b5-a1cf-45d55ca5199a"/>
    <x v="12"/>
    <x v="32"/>
    <x v="1"/>
    <x v="0"/>
    <x v="2"/>
    <n v="1.2073170731707299"/>
    <n v="3020.5855931026499"/>
  </r>
  <r>
    <s v="dfc6b609-0cb1-4672-eb32-e7283195aeaf"/>
    <x v="9"/>
    <x v="9"/>
    <x v="1"/>
    <x v="0"/>
    <x v="9"/>
    <n v="1.61788617886178"/>
    <n v="5120.9232979287399"/>
  </r>
  <r>
    <s v="dfcc524e-cef3-49d9-2f98-26bbad552e15"/>
    <x v="15"/>
    <x v="15"/>
    <x v="0"/>
    <x v="0"/>
    <x v="5"/>
    <n v="0.53252032520325199"/>
    <n v="537.53248041269501"/>
  </r>
  <r>
    <s v="dff04f71-1743-84b3-bec3-9435574ed559"/>
    <x v="18"/>
    <x v="5"/>
    <x v="0"/>
    <x v="0"/>
    <x v="4"/>
    <n v="1.70325203252032"/>
    <n v="1756.43478729555"/>
  </r>
  <r>
    <s v="dffc3e9f-faf9-c69b-335d-9243ad5ea285"/>
    <x v="1"/>
    <x v="36"/>
    <x v="0"/>
    <x v="0"/>
    <x v="5"/>
    <n v="0.53252032520325199"/>
    <n v="522.42657044520001"/>
  </r>
  <r>
    <s v="e00c5ac9-d9ea-a8c3-1e2e-59f3d6314815"/>
    <x v="4"/>
    <x v="21"/>
    <x v="0"/>
    <x v="0"/>
    <x v="5"/>
    <n v="0.53252032520325199"/>
    <n v="533.71553971867399"/>
  </r>
  <r>
    <s v="e0453546-0715-bf22-43a2-4997851fac75"/>
    <x v="17"/>
    <x v="44"/>
    <x v="0"/>
    <x v="0"/>
    <x v="6"/>
    <n v="1.1341463414634101"/>
    <n v="924.46762941791997"/>
  </r>
  <r>
    <s v="e074f575-9b7e-5dd6-76f8-d74501f20c68"/>
    <x v="4"/>
    <x v="40"/>
    <x v="1"/>
    <x v="0"/>
    <x v="8"/>
    <n v="0.19512195121951201"/>
    <n v="558.95692967373805"/>
  </r>
  <r>
    <s v="e07aa79c-fcd6-f917-09c8-9c46a0dfe345"/>
    <x v="1"/>
    <x v="34"/>
    <x v="1"/>
    <x v="0"/>
    <x v="0"/>
    <n v="1.1544715447154399"/>
    <n v="3146.2367645235599"/>
  </r>
  <r>
    <s v="e0d6470e-89c1-7573-246c-966d433effb4"/>
    <x v="13"/>
    <x v="9"/>
    <x v="0"/>
    <x v="0"/>
    <x v="8"/>
    <n v="0.19512195121951201"/>
    <n v="214.542342178415"/>
  </r>
  <r>
    <s v="e0d972f8-823f-f933-1bb1-0ede7b0d4458"/>
    <x v="34"/>
    <x v="36"/>
    <x v="0"/>
    <x v="0"/>
    <x v="3"/>
    <n v="1.11788617886178"/>
    <n v="1096.69699902618"/>
  </r>
  <r>
    <s v="e114f3f5-8aec-a4fd-4975-7402d86de384"/>
    <x v="1"/>
    <x v="20"/>
    <x v="1"/>
    <x v="0"/>
    <x v="4"/>
    <n v="1.70325203252032"/>
    <n v="4112.2016395606297"/>
  </r>
  <r>
    <s v="e1485d42-50a0-df07-22f2-b2d8f6f3744f"/>
    <x v="15"/>
    <x v="35"/>
    <x v="0"/>
    <x v="0"/>
    <x v="2"/>
    <n v="1.2073170731707299"/>
    <n v="1102.9651076713501"/>
  </r>
  <r>
    <s v="e14a09ee-64c7-d4a0-6863-4cec68ad3a46"/>
    <x v="28"/>
    <x v="18"/>
    <x v="0"/>
    <x v="0"/>
    <x v="1"/>
    <n v="0.66666666666666596"/>
    <n v="707.36132294671597"/>
  </r>
  <r>
    <s v="e1889faa-c933-2ef3-5232-5af983d76148"/>
    <x v="4"/>
    <x v="29"/>
    <x v="0"/>
    <x v="0"/>
    <x v="3"/>
    <n v="1.11788617886178"/>
    <n v="1035.92364415828"/>
  </r>
  <r>
    <s v="e1a00ef0-1018-0a2d-5198-48fe7a44d4b8"/>
    <x v="15"/>
    <x v="14"/>
    <x v="1"/>
    <x v="0"/>
    <x v="1"/>
    <n v="0.66666666666666596"/>
    <n v="1716.1608884915599"/>
  </r>
  <r>
    <s v="e1b83564-49cf-f241-ccb8-18d1aa30019d"/>
    <x v="32"/>
    <x v="41"/>
    <x v="0"/>
    <x v="0"/>
    <x v="1"/>
    <n v="0.66666666666666596"/>
    <n v="649.38603603955198"/>
  </r>
  <r>
    <s v="e1d48091-cd9b-7694-8787-67bdd3929807"/>
    <x v="15"/>
    <x v="45"/>
    <x v="1"/>
    <x v="0"/>
    <x v="2"/>
    <n v="1.2073170731707299"/>
    <n v="3533.2807531523899"/>
  </r>
  <r>
    <s v="e22bdae1-8b7a-7276-6c67-46e5ccd891f3"/>
    <x v="29"/>
    <x v="16"/>
    <x v="0"/>
    <x v="0"/>
    <x v="7"/>
    <n v="0.46341463414634099"/>
    <n v="399.89987308217599"/>
  </r>
  <r>
    <s v="e230a337-f38e-3eab-6e83-92bcd1fd453f"/>
    <x v="1"/>
    <x v="6"/>
    <x v="0"/>
    <x v="0"/>
    <x v="8"/>
    <n v="0.19512195121951201"/>
    <n v="187.37455203808699"/>
  </r>
  <r>
    <s v="e235759d-adbe-7ca1-6f5f-19b8c0ef3718"/>
    <x v="14"/>
    <x v="32"/>
    <x v="0"/>
    <x v="0"/>
    <x v="5"/>
    <n v="0.53252032520325199"/>
    <n v="462.82048627050898"/>
  </r>
  <r>
    <s v="e249784a-bd93-0daf-8f28-1032b89f875c"/>
    <x v="26"/>
    <x v="13"/>
    <x v="1"/>
    <x v="0"/>
    <x v="9"/>
    <n v="1.61788617886178"/>
    <n v="3990.5066792160401"/>
  </r>
  <r>
    <s v="e24c77f2-7ce9-19d2-3394-2f053f80269b"/>
    <x v="6"/>
    <x v="3"/>
    <x v="1"/>
    <x v="0"/>
    <x v="1"/>
    <n v="0.66666666666666596"/>
    <n v="2007.4512208712799"/>
  </r>
  <r>
    <s v="e27888bc-7d6b-3811-f049-c443032a06c9"/>
    <x v="17"/>
    <x v="12"/>
    <x v="1"/>
    <x v="0"/>
    <x v="4"/>
    <n v="1.70325203252032"/>
    <n v="5092.3742376681503"/>
  </r>
  <r>
    <s v="e2d28ddb-c3b8-5e67-0d6e-259a870a6ed2"/>
    <x v="17"/>
    <x v="35"/>
    <x v="1"/>
    <x v="0"/>
    <x v="3"/>
    <n v="1.11788617886178"/>
    <n v="2939.8924096272899"/>
  </r>
  <r>
    <s v="e316adb5-c3e9-70ed-0a6f-3633f33e8e3c"/>
    <x v="28"/>
    <x v="2"/>
    <x v="1"/>
    <x v="0"/>
    <x v="7"/>
    <n v="0.46341463414634099"/>
    <n v="1134.89310540881"/>
  </r>
  <r>
    <s v="e3296610-5cd1-725c-a788-2e39e57ea2cb"/>
    <x v="28"/>
    <x v="18"/>
    <x v="0"/>
    <x v="0"/>
    <x v="1"/>
    <n v="0.66666666666666596"/>
    <n v="707.36132294671597"/>
  </r>
  <r>
    <s v="e3666cd7-8d01-44cc-6c39-6958b7ed79b9"/>
    <x v="1"/>
    <x v="46"/>
    <x v="1"/>
    <x v="0"/>
    <x v="7"/>
    <n v="0.46341463414634099"/>
    <n v="1110.8882330710201"/>
  </r>
  <r>
    <s v="e3ae057b-6217-e8f5-732e-26d6da5a230c"/>
    <x v="25"/>
    <x v="39"/>
    <x v="1"/>
    <x v="0"/>
    <x v="7"/>
    <n v="0.46341463414634099"/>
    <n v="1318.09616049949"/>
  </r>
  <r>
    <s v="e3c51eed-49cd-5713-9db8-16f89f1a3b1c"/>
    <x v="25"/>
    <x v="25"/>
    <x v="1"/>
    <x v="0"/>
    <x v="1"/>
    <n v="0.66666666666666596"/>
    <n v="1703.9746772922899"/>
  </r>
  <r>
    <s v="e3cce09c-be15-8a37-f3c2-c84008112559"/>
    <x v="23"/>
    <x v="13"/>
    <x v="1"/>
    <x v="0"/>
    <x v="6"/>
    <n v="1.1341463414634101"/>
    <n v="2797.36523492783"/>
  </r>
  <r>
    <s v="e42f166a-c50e-1047-da40-35e241d35186"/>
    <x v="6"/>
    <x v="45"/>
    <x v="0"/>
    <x v="0"/>
    <x v="0"/>
    <n v="1.1544715447154399"/>
    <n v="1173.6716645070201"/>
  </r>
  <r>
    <s v="e445ba6c-7ef8-9285-6924-ece7b8841f89"/>
    <x v="1"/>
    <x v="12"/>
    <x v="1"/>
    <x v="0"/>
    <x v="4"/>
    <n v="1.70325203252032"/>
    <n v="5092.3742376681503"/>
  </r>
  <r>
    <s v="e44ee96c-2e1b-c3d4-8fc6-ca2669ec304f"/>
    <x v="35"/>
    <x v="11"/>
    <x v="0"/>
    <x v="0"/>
    <x v="5"/>
    <n v="0.53252032520325199"/>
    <n v="424.88775004700699"/>
  </r>
  <r>
    <s v="e47046a6-c2fa-8f5b-0646-96924facf378"/>
    <x v="21"/>
    <x v="39"/>
    <x v="1"/>
    <x v="0"/>
    <x v="5"/>
    <n v="0.53252032520325199"/>
    <n v="1514.6543598722201"/>
  </r>
  <r>
    <s v="e47e63b4-122c-f43e-b2a1-2f8c73cdf3b1"/>
    <x v="8"/>
    <x v="0"/>
    <x v="0"/>
    <x v="0"/>
    <x v="4"/>
    <n v="1.70325203252032"/>
    <n v="1490.9056662248099"/>
  </r>
  <r>
    <s v="e47f232f-eb22-fc9f-747e-9727c40e212a"/>
    <x v="32"/>
    <x v="9"/>
    <x v="0"/>
    <x v="0"/>
    <x v="6"/>
    <n v="1.1341463414634101"/>
    <n v="1247.0273639120401"/>
  </r>
  <r>
    <s v="e480ff6b-d557-33c2-bea5-405d17e16cbc"/>
    <x v="1"/>
    <x v="10"/>
    <x v="0"/>
    <x v="0"/>
    <x v="5"/>
    <n v="0.53252032520325199"/>
    <n v="449.81415669699697"/>
  </r>
  <r>
    <s v="e483166c-5645-06e1-1af7-11a66da47778"/>
    <x v="22"/>
    <x v="1"/>
    <x v="1"/>
    <x v="0"/>
    <x v="7"/>
    <n v="0.46341463414634099"/>
    <n v="1176.0594502622801"/>
  </r>
  <r>
    <s v="e4836902-fa96-a047-5351-98005281677c"/>
    <x v="22"/>
    <x v="24"/>
    <x v="1"/>
    <x v="0"/>
    <x v="2"/>
    <n v="1.2073170731707299"/>
    <n v="2753.3277935842002"/>
  </r>
  <r>
    <s v="e4bdf86a-fc10-5cc2-b545-c2077845b238"/>
    <x v="1"/>
    <x v="18"/>
    <x v="0"/>
    <x v="0"/>
    <x v="3"/>
    <n v="1.11788617886178"/>
    <n v="1186.1241695752799"/>
  </r>
  <r>
    <s v="e4e61c97-a7a8-a998-f64a-39906e1b5685"/>
    <x v="26"/>
    <x v="2"/>
    <x v="0"/>
    <x v="0"/>
    <x v="8"/>
    <n v="0.19512195121951201"/>
    <n v="165.996115425532"/>
  </r>
  <r>
    <s v="e4ea60e8-7b5a-f104-dee1-02fb12e04bba"/>
    <x v="15"/>
    <x v="42"/>
    <x v="0"/>
    <x v="0"/>
    <x v="5"/>
    <n v="0.53252032520325199"/>
    <n v="515.03356071088103"/>
  </r>
  <r>
    <s v="e51e564b-bf88-a0ec-9878-8d7cd5e94b95"/>
    <x v="1"/>
    <x v="29"/>
    <x v="0"/>
    <x v="0"/>
    <x v="4"/>
    <n v="1.70325203252032"/>
    <n v="1578.37093419026"/>
  </r>
  <r>
    <s v="e5ac6fb9-c8d1-da5e-ca21-9d7df685dfac"/>
    <x v="21"/>
    <x v="19"/>
    <x v="0"/>
    <x v="0"/>
    <x v="2"/>
    <n v="1.2073170731707299"/>
    <n v="1236.1739648980199"/>
  </r>
  <r>
    <s v="e6039937-bbe8-78c6-d0a1-0a1a9874be18"/>
    <x v="6"/>
    <x v="25"/>
    <x v="0"/>
    <x v="0"/>
    <x v="1"/>
    <n v="0.66666666666666596"/>
    <n v="591.92913648132003"/>
  </r>
  <r>
    <s v="e63b840f-24b4-3f46-195d-5050c2768ebf"/>
    <x v="1"/>
    <x v="2"/>
    <x v="1"/>
    <x v="0"/>
    <x v="0"/>
    <n v="1.1544715447154399"/>
    <n v="2827.2775608430002"/>
  </r>
  <r>
    <s v="e66d1a2f-4363-2cf4-443a-c959c8fe507c"/>
    <x v="2"/>
    <x v="29"/>
    <x v="1"/>
    <x v="0"/>
    <x v="4"/>
    <n v="1.70325203252032"/>
    <n v="4543.62513597819"/>
  </r>
  <r>
    <s v="e6c80b45-0c7a-a31a-a82c-09188ae72b1e"/>
    <x v="28"/>
    <x v="35"/>
    <x v="0"/>
    <x v="0"/>
    <x v="7"/>
    <n v="0.46341463414634099"/>
    <n v="423.360344358703"/>
  </r>
  <r>
    <s v="e6d35d2e-bb15-ed3d-feee-60e26aac613e"/>
    <x v="10"/>
    <x v="10"/>
    <x v="0"/>
    <x v="0"/>
    <x v="0"/>
    <n v="1.1544715447154399"/>
    <n v="975.16962215226897"/>
  </r>
  <r>
    <s v="e6de8011-eaaa-9661-b160-c79e0e61e908"/>
    <x v="28"/>
    <x v="32"/>
    <x v="0"/>
    <x v="0"/>
    <x v="3"/>
    <n v="1.11788617886178"/>
    <n v="971.56972308694696"/>
  </r>
  <r>
    <s v="e719532a-6aa5-44a4-7d65-c4c3e2a07436"/>
    <x v="21"/>
    <x v="5"/>
    <x v="1"/>
    <x v="0"/>
    <x v="3"/>
    <n v="1.11788617886178"/>
    <n v="3318.5175561605802"/>
  </r>
  <r>
    <s v="e7512c67-7e67-61a9-cc58-3f26f9ca35c7"/>
    <x v="32"/>
    <x v="3"/>
    <x v="1"/>
    <x v="0"/>
    <x v="6"/>
    <n v="1.1341463414634101"/>
    <n v="3415.1151867261401"/>
  </r>
  <r>
    <s v="e7df5e26-b275-7a0e-7fad-2f0ef4f80002"/>
    <x v="34"/>
    <x v="35"/>
    <x v="1"/>
    <x v="0"/>
    <x v="9"/>
    <n v="1.61788617886178"/>
    <n v="4254.8261055696903"/>
  </r>
  <r>
    <s v="e7ece1f0-ebe0-d455-1458-4115a79fd645"/>
    <x v="1"/>
    <x v="37"/>
    <x v="1"/>
    <x v="0"/>
    <x v="6"/>
    <n v="1.1341463414634101"/>
    <n v="2699.4473091660998"/>
  </r>
  <r>
    <s v="e8b643d6-b9df-fea2-dfd4-fbe0a9de841a"/>
    <x v="10"/>
    <x v="45"/>
    <x v="1"/>
    <x v="0"/>
    <x v="2"/>
    <n v="1.2073170731707299"/>
    <n v="3533.2807531523899"/>
  </r>
  <r>
    <s v="e8b81c9d-a31c-e281-e5ff-87124db75c73"/>
    <x v="1"/>
    <x v="43"/>
    <x v="1"/>
    <x v="0"/>
    <x v="0"/>
    <n v="1.1544715447154399"/>
    <n v="2670.6042566689898"/>
  </r>
  <r>
    <s v="e9300010-39da-a73a-88a3-c807670a3364"/>
    <x v="10"/>
    <x v="2"/>
    <x v="1"/>
    <x v="0"/>
    <x v="9"/>
    <n v="1.61788617886178"/>
    <n v="3962.17066625182"/>
  </r>
  <r>
    <s v="e9554863-d5ae-d3c6-e2e0-6757f2eaa292"/>
    <x v="13"/>
    <x v="40"/>
    <x v="1"/>
    <x v="0"/>
    <x v="1"/>
    <n v="0.66666666666666596"/>
    <n v="1909.7695097185999"/>
  </r>
  <r>
    <s v="e988f3da-66a6-18a2-9c5b-b4b47da7c48d"/>
    <x v="17"/>
    <x v="28"/>
    <x v="1"/>
    <x v="0"/>
    <x v="7"/>
    <n v="0.46341463414634099"/>
    <n v="1210.0650869911799"/>
  </r>
  <r>
    <s v="e9961593-ca1b-d04e-b8fa-3d0df9d1e8d8"/>
    <x v="38"/>
    <x v="6"/>
    <x v="0"/>
    <x v="0"/>
    <x v="0"/>
    <n v="1.1544715447154399"/>
    <n v="1108.63276622535"/>
  </r>
  <r>
    <s v="e9f0aedd-988e-3a00-92f2-339902a965bf"/>
    <x v="4"/>
    <x v="2"/>
    <x v="1"/>
    <x v="0"/>
    <x v="6"/>
    <n v="1.1341463414634101"/>
    <n v="2777.5015474478801"/>
  </r>
  <r>
    <s v="e9ffd424-113b-191a-4cd4-a5c7eacdbbd3"/>
    <x v="1"/>
    <x v="19"/>
    <x v="1"/>
    <x v="0"/>
    <x v="8"/>
    <n v="0.19512195121951201"/>
    <n v="575.11911118025"/>
  </r>
  <r>
    <s v="ea13d6c5-f624-bf04-f5d4-17168d18a7d9"/>
    <x v="2"/>
    <x v="19"/>
    <x v="0"/>
    <x v="0"/>
    <x v="9"/>
    <n v="1.61788617886178"/>
    <n v="1656.5563570013901"/>
  </r>
  <r>
    <s v="ea1bf15e-2f5b-6cff-ef5a-2300753c2e8a"/>
    <x v="6"/>
    <x v="21"/>
    <x v="1"/>
    <x v="0"/>
    <x v="9"/>
    <n v="1.61788617886178"/>
    <n v="4667.8301310831002"/>
  </r>
  <r>
    <s v="ea4775f2-7c07-7c77-3969-1f0c3cac8be0"/>
    <x v="38"/>
    <x v="3"/>
    <x v="1"/>
    <x v="0"/>
    <x v="7"/>
    <n v="0.46341463414634099"/>
    <n v="1395.4234096300299"/>
  </r>
  <r>
    <s v="ea51988a-de0c-12ae-149a-be19d179ae78"/>
    <x v="6"/>
    <x v="43"/>
    <x v="1"/>
    <x v="0"/>
    <x v="5"/>
    <n v="0.53252032520325199"/>
    <n v="1231.8632310691401"/>
  </r>
  <r>
    <s v="ea532a75-4a8d-61db-b90d-0d1ab0d8aea1"/>
    <x v="34"/>
    <x v="7"/>
    <x v="1"/>
    <x v="0"/>
    <x v="3"/>
    <n v="1.11788617886178"/>
    <n v="3438.8912173169701"/>
  </r>
  <r>
    <s v="ea68b291-ea91-b877-8a9d-120a37adb806"/>
    <x v="15"/>
    <x v="27"/>
    <x v="0"/>
    <x v="0"/>
    <x v="3"/>
    <n v="1.11788617886178"/>
    <n v="1203.1502979690799"/>
  </r>
  <r>
    <s v="ea7b29f2-5564-5f58-7c1e-99ae76487121"/>
    <x v="28"/>
    <x v="31"/>
    <x v="1"/>
    <x v="0"/>
    <x v="8"/>
    <n v="0.19512195121951201"/>
    <n v="608.85897032157402"/>
  </r>
  <r>
    <s v="eaaca598-9b7c-2601-cdb3-647500012e8f"/>
    <x v="41"/>
    <x v="44"/>
    <x v="0"/>
    <x v="0"/>
    <x v="2"/>
    <n v="1.2073170731707299"/>
    <n v="984.11070228359199"/>
  </r>
  <r>
    <s v="eab5134c-740b-01da-357f-5db090b46492"/>
    <x v="36"/>
    <x v="20"/>
    <x v="1"/>
    <x v="0"/>
    <x v="2"/>
    <n v="1.2073170731707299"/>
    <n v="2914.85414546422"/>
  </r>
  <r>
    <s v="ead0c26c-6b84-27a0-3ed1-1cf6a5ab9d3e"/>
    <x v="39"/>
    <x v="24"/>
    <x v="0"/>
    <x v="0"/>
    <x v="1"/>
    <n v="0.66666666666666596"/>
    <n v="528.14345091533198"/>
  </r>
  <r>
    <s v="ead1bf85-88e0-2a8d-8e6d-6ea71a6839cc"/>
    <x v="28"/>
    <x v="17"/>
    <x v="0"/>
    <x v="0"/>
    <x v="0"/>
    <n v="1.1544715447154399"/>
    <n v="1100.7605246877099"/>
  </r>
  <r>
    <s v="eaf302be-6d52-dbbf-a7c6-53dcf9e2f977"/>
    <x v="1"/>
    <x v="36"/>
    <x v="1"/>
    <x v="0"/>
    <x v="4"/>
    <n v="1.70325203252032"/>
    <n v="4810.1808269624098"/>
  </r>
  <r>
    <s v="eb1dfd3b-183f-ab0e-5fb8-fb1cd9d9dcdd"/>
    <x v="22"/>
    <x v="23"/>
    <x v="0"/>
    <x v="0"/>
    <x v="5"/>
    <n v="0.53252032520325199"/>
    <n v="489.97224963730099"/>
  </r>
  <r>
    <s v="eb3fb04d-7c66-656f-9cc3-a5b378f44947"/>
    <x v="15"/>
    <x v="5"/>
    <x v="1"/>
    <x v="0"/>
    <x v="6"/>
    <n v="1.1341463414634101"/>
    <n v="3366.7869024319998"/>
  </r>
  <r>
    <s v="eb4ac1fa-74bc-deed-2df3-49486d08ad25"/>
    <x v="1"/>
    <x v="34"/>
    <x v="0"/>
    <x v="0"/>
    <x v="4"/>
    <n v="1.70325203252032"/>
    <n v="1612.4775091353899"/>
  </r>
  <r>
    <s v="eb61d5c9-21e8-ad1b-9dd5-4a8b8b9a28d5"/>
    <x v="6"/>
    <x v="3"/>
    <x v="1"/>
    <x v="0"/>
    <x v="4"/>
    <n v="1.70325203252032"/>
    <n v="5128.7930582016197"/>
  </r>
  <r>
    <s v="eb63174c-09e8-d6e7-c9aa-a0114a45e750"/>
    <x v="13"/>
    <x v="8"/>
    <x v="1"/>
    <x v="0"/>
    <x v="9"/>
    <n v="1.61788617886178"/>
    <n v="4194.6148288164704"/>
  </r>
  <r>
    <s v="eb737753-61c2-ef6e-7dc8-d95ad49e29ac"/>
    <x v="15"/>
    <x v="43"/>
    <x v="1"/>
    <x v="0"/>
    <x v="8"/>
    <n v="0.19512195121951201"/>
    <n v="451.36973352152"/>
  </r>
  <r>
    <s v="eb86f653-bdfb-69a9-729d-e5d5bfe5f914"/>
    <x v="33"/>
    <x v="47"/>
    <x v="0"/>
    <x v="0"/>
    <x v="3"/>
    <n v="1.11788617886178"/>
    <n v="917.73028374089404"/>
  </r>
  <r>
    <s v="eb8a9c87-c838-e2c9-1d8e-76cdb397101c"/>
    <x v="4"/>
    <x v="47"/>
    <x v="0"/>
    <x v="0"/>
    <x v="1"/>
    <n v="0.66666666666666596"/>
    <n v="547.30096921275106"/>
  </r>
  <r>
    <s v="eba54a69-48a4-efd0-6057-bd3d53c24eee"/>
    <x v="1"/>
    <x v="42"/>
    <x v="1"/>
    <x v="0"/>
    <x v="2"/>
    <n v="1.2073170731707299"/>
    <n v="3361.3528346244698"/>
  </r>
  <r>
    <s v="ebd1b2fe-c620-9316-5689-6119db660361"/>
    <x v="9"/>
    <x v="3"/>
    <x v="1"/>
    <x v="0"/>
    <x v="8"/>
    <n v="0.19512195121951201"/>
    <n v="587.54669879159405"/>
  </r>
  <r>
    <s v="ebe9b70e-3200-dece-1d7d-bd577cfbdcc6"/>
    <x v="2"/>
    <x v="19"/>
    <x v="0"/>
    <x v="0"/>
    <x v="9"/>
    <n v="1.61788617886178"/>
    <n v="1656.5563570013901"/>
  </r>
  <r>
    <s v="ebef4b91-2416-2072-c70f-3eb9dc5573a3"/>
    <x v="25"/>
    <x v="7"/>
    <x v="1"/>
    <x v="0"/>
    <x v="6"/>
    <n v="1.1341463414634101"/>
    <n v="3488.9114532052199"/>
  </r>
  <r>
    <s v="ec09b388-e03f-977b-395b-1c6d0449e90d"/>
    <x v="48"/>
    <x v="3"/>
    <x v="1"/>
    <x v="0"/>
    <x v="1"/>
    <n v="0.66666666666666596"/>
    <n v="2007.4512208712799"/>
  </r>
  <r>
    <s v="ec16867c-b961-19a9-b7e2-7bc8eca28ec0"/>
    <x v="7"/>
    <x v="18"/>
    <x v="0"/>
    <x v="0"/>
    <x v="9"/>
    <n v="1.61788617886178"/>
    <n v="1716.6451617853199"/>
  </r>
  <r>
    <s v="ec1d3637-f7c6-5a4f-5ba2-34154714bb5c"/>
    <x v="35"/>
    <x v="8"/>
    <x v="0"/>
    <x v="0"/>
    <x v="3"/>
    <n v="1.11788617886178"/>
    <n v="1006.81178604351"/>
  </r>
  <r>
    <s v="ec4c9f8c-1c12-bdd9-2101-63b30dfff674"/>
    <x v="43"/>
    <x v="8"/>
    <x v="1"/>
    <x v="0"/>
    <x v="3"/>
    <n v="1.11788617886178"/>
    <n v="2898.2891405138898"/>
  </r>
  <r>
    <s v="ec53de3a-3f9c-a69e-3e02-351b740c424c"/>
    <x v="9"/>
    <x v="1"/>
    <x v="0"/>
    <x v="0"/>
    <x v="3"/>
    <n v="1.11788617886178"/>
    <n v="985.51604613905397"/>
  </r>
  <r>
    <s v="ec8f4bef-4670-6570-7db8-b62a524cf0b7"/>
    <x v="1"/>
    <x v="38"/>
    <x v="1"/>
    <x v="0"/>
    <x v="8"/>
    <n v="0.19512195121951201"/>
    <n v="527.982387140024"/>
  </r>
  <r>
    <s v="ec9bd018-0820-06e2-f1a2-cc6e852084d5"/>
    <x v="21"/>
    <x v="31"/>
    <x v="0"/>
    <x v="0"/>
    <x v="8"/>
    <n v="0.19512195121951201"/>
    <n v="211.506291345861"/>
  </r>
  <r>
    <s v="eca80652-36db-e0ed-28e6-6a3dc3c51db3"/>
    <x v="17"/>
    <x v="25"/>
    <x v="0"/>
    <x v="0"/>
    <x v="2"/>
    <n v="1.2073170731707299"/>
    <n v="1071.9692288716601"/>
  </r>
  <r>
    <s v="ecda2594-ec35-bb39-775d-75acbe11abb1"/>
    <x v="17"/>
    <x v="39"/>
    <x v="1"/>
    <x v="0"/>
    <x v="2"/>
    <n v="1.2073170731707299"/>
    <n v="3433.9873655118299"/>
  </r>
  <r>
    <s v="ece90210-0c0d-8dc2-99bf-41dc1cd5e4ce"/>
    <x v="1"/>
    <x v="5"/>
    <x v="1"/>
    <x v="0"/>
    <x v="6"/>
    <n v="1.1341463414634101"/>
    <n v="3366.7869024319998"/>
  </r>
  <r>
    <s v="ece94269-bb82-aeaa-8236-6ee1b64802a8"/>
    <x v="33"/>
    <x v="0"/>
    <x v="0"/>
    <x v="0"/>
    <x v="1"/>
    <n v="0.66666666666666596"/>
    <n v="583.55257580160003"/>
  </r>
  <r>
    <s v="eceee2a2-196e-9bd9-131d-85dee6c19f5f"/>
    <x v="6"/>
    <x v="20"/>
    <x v="0"/>
    <x v="0"/>
    <x v="7"/>
    <n v="0.46341463414634099"/>
    <n v="388.66175873761699"/>
  </r>
  <r>
    <s v="ed01b48c-c097-0646-7bb0-6f5c5d297723"/>
    <x v="35"/>
    <x v="30"/>
    <x v="0"/>
    <x v="0"/>
    <x v="7"/>
    <n v="0.46341463414634099"/>
    <n v="375.05718799250502"/>
  </r>
  <r>
    <s v="ed12414d-863d-6b13-8d3b-8a84e7655085"/>
    <x v="37"/>
    <x v="39"/>
    <x v="1"/>
    <x v="0"/>
    <x v="9"/>
    <n v="1.61788617886178"/>
    <n v="4601.77431472629"/>
  </r>
  <r>
    <s v="ed1e474d-67c9-9861-8289-7a823f3fa319"/>
    <x v="17"/>
    <x v="34"/>
    <x v="1"/>
    <x v="0"/>
    <x v="3"/>
    <n v="1.11788617886178"/>
    <n v="3046.5320783238699"/>
  </r>
  <r>
    <s v="ed62e1ce-893f-8aca-50c8-0d363edf6e2a"/>
    <x v="6"/>
    <x v="21"/>
    <x v="0"/>
    <x v="0"/>
    <x v="1"/>
    <n v="0.66666666666666596"/>
    <n v="668.16296575467595"/>
  </r>
  <r>
    <s v="ed8f4591-705b-dbb9-6560-0dfaa305c391"/>
    <x v="26"/>
    <x v="1"/>
    <x v="1"/>
    <x v="0"/>
    <x v="4"/>
    <n v="1.70325203252032"/>
    <n v="4322.5342952622595"/>
  </r>
  <r>
    <s v="edab3439-49e8-566e-7202-90caab776972"/>
    <x v="2"/>
    <x v="32"/>
    <x v="1"/>
    <x v="0"/>
    <x v="8"/>
    <n v="0.19512195121951201"/>
    <n v="488.17544939032803"/>
  </r>
  <r>
    <s v="edc08d90-cb06-7d0a-84a2-f310ef3be096"/>
    <x v="34"/>
    <x v="26"/>
    <x v="1"/>
    <x v="0"/>
    <x v="0"/>
    <n v="1.1544715447154399"/>
    <n v="3501.1793378674101"/>
  </r>
  <r>
    <s v="eddfb2b4-ea44-750e-eb1e-b710e3f57b8f"/>
    <x v="21"/>
    <x v="26"/>
    <x v="0"/>
    <x v="0"/>
    <x v="5"/>
    <n v="0.53252032520325199"/>
    <n v="561.01425138162006"/>
  </r>
  <r>
    <s v="ee39f10b-b320-36af-5e75-8cd8ac791224"/>
    <x v="33"/>
    <x v="42"/>
    <x v="0"/>
    <x v="0"/>
    <x v="6"/>
    <n v="1.1341463414634101"/>
    <n v="1096.9035376972199"/>
  </r>
  <r>
    <s v="ee94dbd6-795f-96b2-9143-661b5f69e7b8"/>
    <x v="2"/>
    <x v="1"/>
    <x v="1"/>
    <x v="0"/>
    <x v="3"/>
    <n v="1.11788617886178"/>
    <n v="2836.9855159835802"/>
  </r>
  <r>
    <s v="ee99a5b9-e68f-de80-8b87-d1435b3b3ef9"/>
    <x v="1"/>
    <x v="34"/>
    <x v="1"/>
    <x v="0"/>
    <x v="3"/>
    <n v="1.11788617886178"/>
    <n v="3046.5320783238699"/>
  </r>
  <r>
    <s v="eef1793a-a562-ba66-03c9-cb4ef3546553"/>
    <x v="9"/>
    <x v="46"/>
    <x v="1"/>
    <x v="0"/>
    <x v="3"/>
    <n v="1.11788617886178"/>
    <n v="2679.7742464432699"/>
  </r>
  <r>
    <s v="eef73cd4-26a0-75bd-609f-2e3186941e24"/>
    <x v="17"/>
    <x v="0"/>
    <x v="0"/>
    <x v="0"/>
    <x v="8"/>
    <n v="0.19512195121951201"/>
    <n v="170.79587584436999"/>
  </r>
  <r>
    <s v="ef304b43-b4d4-05a6-78be-c0ebc4925443"/>
    <x v="7"/>
    <x v="34"/>
    <x v="0"/>
    <x v="0"/>
    <x v="8"/>
    <n v="0.19512195121951201"/>
    <n v="184.722960473744"/>
  </r>
  <r>
    <s v="ef3981d2-4546-cbeb-6c7a-85f8f865dfc2"/>
    <x v="2"/>
    <x v="23"/>
    <x v="1"/>
    <x v="0"/>
    <x v="5"/>
    <n v="0.53252032520325199"/>
    <n v="1410.47340720699"/>
  </r>
  <r>
    <s v="ef3f9726-1ecd-0236-f268-d5394a94b5d1"/>
    <x v="17"/>
    <x v="45"/>
    <x v="1"/>
    <x v="0"/>
    <x v="4"/>
    <n v="1.70325203252032"/>
    <n v="4984.6620726291303"/>
  </r>
  <r>
    <s v="ef5a77d2-b1b7-cff7-6d81-ed138068b5d2"/>
    <x v="14"/>
    <x v="30"/>
    <x v="1"/>
    <x v="0"/>
    <x v="1"/>
    <n v="0.66666666666666596"/>
    <n v="1553.2090364416599"/>
  </r>
  <r>
    <s v="ef8117b2-bd3c-6979-707a-ea3af91ec56e"/>
    <x v="4"/>
    <x v="7"/>
    <x v="0"/>
    <x v="0"/>
    <x v="3"/>
    <n v="1.11788617886178"/>
    <n v="1194.6069010569299"/>
  </r>
  <r>
    <s v="efa61d6e-1e3a-08fe-c054-f77cf2e66d05"/>
    <x v="13"/>
    <x v="32"/>
    <x v="1"/>
    <x v="0"/>
    <x v="7"/>
    <n v="0.46341463414634099"/>
    <n v="1159.41669230203"/>
  </r>
  <r>
    <s v="efb0164b-c1d0-dda6-971d-b118d819f167"/>
    <x v="21"/>
    <x v="12"/>
    <x v="1"/>
    <x v="0"/>
    <x v="2"/>
    <n v="1.2073170731707299"/>
    <n v="3609.6304262230101"/>
  </r>
  <r>
    <s v="efc89941-2ce6-8d53-ac94-07e8d12f5a93"/>
    <x v="34"/>
    <x v="23"/>
    <x v="1"/>
    <x v="0"/>
    <x v="7"/>
    <n v="0.46341463414634099"/>
    <n v="1227.4348734473001"/>
  </r>
  <r>
    <s v="effb7a72-0b5b-a510-a531-95d5cf6a7424"/>
    <x v="1"/>
    <x v="30"/>
    <x v="0"/>
    <x v="0"/>
    <x v="9"/>
    <n v="1.61788617886178"/>
    <n v="1309.4101826404999"/>
  </r>
  <r>
    <s v="f02c7b78-1d33-7157-e8b4-94d63a5d773d"/>
    <x v="2"/>
    <x v="32"/>
    <x v="0"/>
    <x v="0"/>
    <x v="7"/>
    <n v="0.46341463414634099"/>
    <n v="402.759812479679"/>
  </r>
  <r>
    <s v="f055b2c5-fce5-1efe-db3b-e72a9c60afea"/>
    <x v="3"/>
    <x v="35"/>
    <x v="1"/>
    <x v="0"/>
    <x v="9"/>
    <n v="1.61788617886178"/>
    <n v="4254.8261055696903"/>
  </r>
  <r>
    <s v="f08f9a53-aa44-eb5c-684c-fd29b8a6037d"/>
    <x v="12"/>
    <x v="15"/>
    <x v="1"/>
    <x v="0"/>
    <x v="0"/>
    <n v="1.1544715447154399"/>
    <n v="3354.6342347252598"/>
  </r>
  <r>
    <s v="f0b61d09-8e33-4222-9c5a-ca0fd9e1f379"/>
    <x v="17"/>
    <x v="7"/>
    <x v="0"/>
    <x v="0"/>
    <x v="2"/>
    <n v="1.2073170731707299"/>
    <n v="1290.1754531414799"/>
  </r>
  <r>
    <s v="f17eb9bb-d346-0741-8aae-d476aebde02b"/>
    <x v="15"/>
    <x v="37"/>
    <x v="1"/>
    <x v="0"/>
    <x v="7"/>
    <n v="0.46341463414634099"/>
    <n v="1102.9999757882999"/>
  </r>
  <r>
    <s v="f1ad0c29-f2ef-ab81-cb66-b5eeee9b5174"/>
    <x v="37"/>
    <x v="9"/>
    <x v="1"/>
    <x v="0"/>
    <x v="0"/>
    <n v="1.1544715447154399"/>
    <n v="3654.1261723913599"/>
  </r>
  <r>
    <s v="f22e710e-3f6a-dc2f-5a94-b501c3a5f259"/>
    <x v="14"/>
    <x v="23"/>
    <x v="0"/>
    <x v="0"/>
    <x v="6"/>
    <n v="1.1341463414634101"/>
    <n v="1043.5286843420299"/>
  </r>
  <r>
    <s v="f243cc71-d0bc-6a88-9180-8a423ba4a3df"/>
    <x v="14"/>
    <x v="32"/>
    <x v="1"/>
    <x v="0"/>
    <x v="1"/>
    <n v="0.66666666666666596"/>
    <n v="1667.9327854169501"/>
  </r>
  <r>
    <s v="f25563f7-ae6c-46e0-7a13-0c2c4bcd8bcc"/>
    <x v="5"/>
    <x v="41"/>
    <x v="0"/>
    <x v="0"/>
    <x v="0"/>
    <n v="1.1544715447154399"/>
    <n v="1124.5465502148299"/>
  </r>
  <r>
    <s v="f261853b-4e02-6bf1-dd5d-c1cc95c434ba"/>
    <x v="18"/>
    <x v="19"/>
    <x v="0"/>
    <x v="0"/>
    <x v="1"/>
    <n v="0.66666666666666596"/>
    <n v="682.60111193022396"/>
  </r>
  <r>
    <s v="f26bd5f4-e801-78d9-a273-17f70cfe35b0"/>
    <x v="25"/>
    <x v="31"/>
    <x v="1"/>
    <x v="0"/>
    <x v="7"/>
    <n v="0.46341463414634099"/>
    <n v="1446.04005451373"/>
  </r>
  <r>
    <s v="f273fb0f-8baf-9913-3f28-6d86b08026f4"/>
    <x v="45"/>
    <x v="28"/>
    <x v="0"/>
    <x v="0"/>
    <x v="4"/>
    <n v="1.70325203252032"/>
    <n v="1544.98576989916"/>
  </r>
  <r>
    <s v="f2740e06-c477-30c3-19cf-41cac21b4634"/>
    <x v="14"/>
    <x v="39"/>
    <x v="0"/>
    <x v="0"/>
    <x v="0"/>
    <n v="1.1544715447154399"/>
    <n v="1140.6887673957001"/>
  </r>
  <r>
    <s v="f274140b-bedb-96d4-f44e-5c814842208d"/>
    <x v="6"/>
    <x v="9"/>
    <x v="1"/>
    <x v="0"/>
    <x v="2"/>
    <n v="1.2073170731707299"/>
    <n v="3821.3925112684301"/>
  </r>
  <r>
    <s v="f284177c-792d-c708-3bf3-cb7e537ef714"/>
    <x v="43"/>
    <x v="2"/>
    <x v="0"/>
    <x v="0"/>
    <x v="7"/>
    <n v="0.46341463414634099"/>
    <n v="394.24077413563901"/>
  </r>
  <r>
    <s v="f2a87a00-b249-4410-58fe-5874d112ccf4"/>
    <x v="6"/>
    <x v="16"/>
    <x v="0"/>
    <x v="0"/>
    <x v="3"/>
    <n v="1.11788617886178"/>
    <n v="964.67074647016295"/>
  </r>
  <r>
    <s v="f2b911b2-dacd-7539-5c6a-9c6b26f53664"/>
    <x v="28"/>
    <x v="30"/>
    <x v="0"/>
    <x v="0"/>
    <x v="8"/>
    <n v="0.19512195121951201"/>
    <n v="157.91881599684399"/>
  </r>
  <r>
    <s v="f2c4a045-6bfc-a983-35d9-863e3464ff03"/>
    <x v="8"/>
    <x v="47"/>
    <x v="1"/>
    <x v="0"/>
    <x v="0"/>
    <n v="1.1544715447154399"/>
    <n v="2728.3125952197202"/>
  </r>
  <r>
    <s v="f331630e-0ffa-f7bf-a07e-5ffe52a65386"/>
    <x v="28"/>
    <x v="25"/>
    <x v="0"/>
    <x v="0"/>
    <x v="2"/>
    <n v="1.2073170731707299"/>
    <n v="1071.9692288716601"/>
  </r>
  <r>
    <s v="f352b378-c882-161d-b085-b63e731810f9"/>
    <x v="1"/>
    <x v="36"/>
    <x v="1"/>
    <x v="0"/>
    <x v="6"/>
    <n v="1.1341463414634101"/>
    <n v="3202.9605029176901"/>
  </r>
  <r>
    <s v="f36bd249-6632-53af-9cb3-e8e8486612a1"/>
    <x v="15"/>
    <x v="37"/>
    <x v="0"/>
    <x v="0"/>
    <x v="3"/>
    <n v="1.11788617886178"/>
    <n v="924.29355912911501"/>
  </r>
  <r>
    <s v="f3b78b4c-f113-fe65-0206-4efaaebffefc"/>
    <x v="25"/>
    <x v="9"/>
    <x v="1"/>
    <x v="0"/>
    <x v="6"/>
    <n v="1.1341463414634101"/>
    <n v="3589.7929651309501"/>
  </r>
  <r>
    <s v="f3bd40da-c286-b186-7918-8228874d0514"/>
    <x v="40"/>
    <x v="31"/>
    <x v="0"/>
    <x v="0"/>
    <x v="7"/>
    <n v="0.46341463414634099"/>
    <n v="502.327441946421"/>
  </r>
  <r>
    <s v="f3f39030-8644-8e73-3f00-2cf462f3ad47"/>
    <x v="6"/>
    <x v="30"/>
    <x v="0"/>
    <x v="0"/>
    <x v="8"/>
    <n v="0.19512195121951201"/>
    <n v="157.91881599684399"/>
  </r>
  <r>
    <s v="f40982e1-8ca4-13f8-eb9b-4b348ed8e1fa"/>
    <x v="2"/>
    <x v="33"/>
    <x v="0"/>
    <x v="0"/>
    <x v="0"/>
    <n v="1.1544715447154399"/>
    <n v="1278.4536396470901"/>
  </r>
  <r>
    <s v="f4171799-269a-4575-ab0b-b7baebfc6a5b"/>
    <x v="14"/>
    <x v="26"/>
    <x v="1"/>
    <x v="0"/>
    <x v="0"/>
    <n v="1.1544715447154399"/>
    <n v="3501.1793378674101"/>
  </r>
  <r>
    <s v="f42a5eb8-fef4-01a9-4248-f15878ac7dd6"/>
    <x v="1"/>
    <x v="2"/>
    <x v="1"/>
    <x v="0"/>
    <x v="4"/>
    <n v="1.70325203252032"/>
    <n v="4171.2299225113402"/>
  </r>
  <r>
    <s v="f453e7d0-b87c-fff4-68e7-8b8f175851bc"/>
    <x v="21"/>
    <x v="27"/>
    <x v="0"/>
    <x v="0"/>
    <x v="4"/>
    <n v="1.70325203252032"/>
    <n v="1833.16354490563"/>
  </r>
  <r>
    <s v="f46e8fb9-5d7b-3ee7-1ff0-e106f17da813"/>
    <x v="8"/>
    <x v="41"/>
    <x v="1"/>
    <x v="0"/>
    <x v="7"/>
    <n v="0.46341463414634099"/>
    <n v="1299.44339990763"/>
  </r>
  <r>
    <s v="f4720417-6944-23a6-6dd1-6fde44817e4d"/>
    <x v="2"/>
    <x v="27"/>
    <x v="1"/>
    <x v="0"/>
    <x v="7"/>
    <n v="0.46341463414634099"/>
    <n v="1435.7719324366799"/>
  </r>
  <r>
    <s v="f47f84af-71de-130a-d093-7db2fa6cb08f"/>
    <x v="6"/>
    <x v="26"/>
    <x v="1"/>
    <x v="0"/>
    <x v="8"/>
    <n v="0.19512195121951201"/>
    <n v="591.74862048463297"/>
  </r>
  <r>
    <s v="f4b4d577-f8fc-4e92-90c4-ab7749971c2a"/>
    <x v="17"/>
    <x v="15"/>
    <x v="1"/>
    <x v="0"/>
    <x v="4"/>
    <n v="1.70325203252032"/>
    <n v="4949.2667054573503"/>
  </r>
  <r>
    <s v="f54804d1-bda0-e53e-6a99-a068cd13304a"/>
    <x v="12"/>
    <x v="11"/>
    <x v="1"/>
    <x v="0"/>
    <x v="2"/>
    <n v="1.2073170731707299"/>
    <n v="2773.0185991111498"/>
  </r>
  <r>
    <s v="f5578e6c-c80b-8a89-f955-2de0baeaa687"/>
    <x v="17"/>
    <x v="37"/>
    <x v="1"/>
    <x v="0"/>
    <x v="2"/>
    <n v="1.2073170731707299"/>
    <n v="2873.6052000800501"/>
  </r>
  <r>
    <s v="f5648172-ca1e-142d-40a5-4ef9f6c2ef37"/>
    <x v="1"/>
    <x v="10"/>
    <x v="1"/>
    <x v="0"/>
    <x v="8"/>
    <n v="0.19512195121951201"/>
    <n v="474.456586520553"/>
  </r>
  <r>
    <s v="f582d980-0e17-c97b-86f0-f092b1dfbd08"/>
    <x v="28"/>
    <x v="1"/>
    <x v="1"/>
    <x v="0"/>
    <x v="2"/>
    <n v="1.2073170731707299"/>
    <n v="3063.9443572622699"/>
  </r>
  <r>
    <s v="f59e24a1-98f2-dab9-8ac7-44680a553578"/>
    <x v="1"/>
    <x v="11"/>
    <x v="1"/>
    <x v="0"/>
    <x v="9"/>
    <n v="1.61788617886178"/>
    <n v="3716.0316580681501"/>
  </r>
  <r>
    <s v="f5e48d3a-a6ec-96d7-f535-9ff6a38f363f"/>
    <x v="4"/>
    <x v="32"/>
    <x v="1"/>
    <x v="0"/>
    <x v="1"/>
    <n v="0.66666666666666596"/>
    <n v="1667.9327854169501"/>
  </r>
  <r>
    <s v="f62989fa-0878-9fed-dbf4-7e37122ed306"/>
    <x v="10"/>
    <x v="35"/>
    <x v="1"/>
    <x v="0"/>
    <x v="8"/>
    <n v="0.19512195121951201"/>
    <n v="513.14485695312806"/>
  </r>
  <r>
    <s v="f62b6b27-6461-a03f-74b9-532e204959ff"/>
    <x v="1"/>
    <x v="6"/>
    <x v="0"/>
    <x v="0"/>
    <x v="8"/>
    <n v="0.19512195121951201"/>
    <n v="187.37455203808699"/>
  </r>
  <r>
    <s v="f6432922-7286-bd93-6334-67f8c9a9a48c"/>
    <x v="13"/>
    <x v="5"/>
    <x v="0"/>
    <x v="0"/>
    <x v="5"/>
    <n v="0.53252032520325199"/>
    <n v="549.14786905899302"/>
  </r>
  <r>
    <s v="f65918b4-ad96-138b-c919-4e453372a686"/>
    <x v="14"/>
    <x v="41"/>
    <x v="1"/>
    <x v="0"/>
    <x v="3"/>
    <n v="1.11788617886178"/>
    <n v="3134.6222366192801"/>
  </r>
  <r>
    <s v="f65f6df7-51d1-2c64-5758-4430ccd152d5"/>
    <x v="36"/>
    <x v="33"/>
    <x v="0"/>
    <x v="0"/>
    <x v="3"/>
    <n v="1.11788617886178"/>
    <n v="1237.93926374278"/>
  </r>
  <r>
    <s v="f6c6de50-b4a0-49f2-3d9f-e3855c9c6409"/>
    <x v="1"/>
    <x v="22"/>
    <x v="0"/>
    <x v="0"/>
    <x v="9"/>
    <n v="1.61788617886178"/>
    <n v="1509.98623239991"/>
  </r>
  <r>
    <s v="f6d2377b-deb1-c62c-2a95-908848428c22"/>
    <x v="15"/>
    <x v="36"/>
    <x v="0"/>
    <x v="0"/>
    <x v="4"/>
    <n v="1.70325203252032"/>
    <n v="1670.9674276071601"/>
  </r>
  <r>
    <s v="f6f864c9-edcb-a174-29cd-9af195d643a3"/>
    <x v="7"/>
    <x v="18"/>
    <x v="1"/>
    <x v="0"/>
    <x v="7"/>
    <n v="0.46341463414634099"/>
    <n v="1415.45390790795"/>
  </r>
  <r>
    <s v="f7167931-c6f3-7d1d-16df-d229348c56ba"/>
    <x v="18"/>
    <x v="14"/>
    <x v="1"/>
    <x v="0"/>
    <x v="7"/>
    <n v="0.46341463414634099"/>
    <n v="1192.94110541486"/>
  </r>
  <r>
    <s v="f74575dc-6f4f-b46d-00be-d197d1792cc5"/>
    <x v="6"/>
    <x v="20"/>
    <x v="1"/>
    <x v="0"/>
    <x v="6"/>
    <n v="1.1341463414634101"/>
    <n v="2738.19631846638"/>
  </r>
  <r>
    <s v="f74cd58b-a664-f3fb-3eaa-b8a366e8b648"/>
    <x v="27"/>
    <x v="23"/>
    <x v="0"/>
    <x v="0"/>
    <x v="9"/>
    <n v="1.61788617886178"/>
    <n v="1488.6179798140899"/>
  </r>
  <r>
    <s v="f75bb150-c52c-3c91-6db1-be793c4d92d9"/>
    <x v="18"/>
    <x v="19"/>
    <x v="1"/>
    <x v="0"/>
    <x v="8"/>
    <n v="0.19512195121951201"/>
    <n v="575.11911118025"/>
  </r>
  <r>
    <s v="f7b1f9ec-2c5d-6702-cdf8-a4c6618fcf4e"/>
    <x v="2"/>
    <x v="45"/>
    <x v="0"/>
    <x v="0"/>
    <x v="9"/>
    <n v="1.61788617886178"/>
    <n v="1644.7933889922399"/>
  </r>
  <r>
    <s v="f7c17c94-ff29-90ba-470d-f0f4973c7845"/>
    <x v="36"/>
    <x v="19"/>
    <x v="1"/>
    <x v="0"/>
    <x v="9"/>
    <n v="1.61788617886178"/>
    <n v="4768.69596353624"/>
  </r>
  <r>
    <s v="f7f201bf-583e-0858-6d60-864fae9a6d65"/>
    <x v="17"/>
    <x v="37"/>
    <x v="1"/>
    <x v="0"/>
    <x v="9"/>
    <n v="1.61788617886178"/>
    <n v="3850.8244768749501"/>
  </r>
  <r>
    <s v="f85c5bb2-25dc-6f22-c5dc-8009d2e95f05"/>
    <x v="28"/>
    <x v="7"/>
    <x v="0"/>
    <x v="1"/>
    <x v="3"/>
    <n v="1.11788617886178"/>
    <n v="1282.8994865709601"/>
  </r>
  <r>
    <s v="f87c4cec-17c5-b625-c0e9-ff817f79ebc5"/>
    <x v="2"/>
    <x v="40"/>
    <x v="0"/>
    <x v="0"/>
    <x v="9"/>
    <n v="1.61788617886178"/>
    <n v="1610.00327956553"/>
  </r>
  <r>
    <s v="f898d3b4-a5f3-4666-ec12-e12201733761"/>
    <x v="26"/>
    <x v="25"/>
    <x v="0"/>
    <x v="0"/>
    <x v="1"/>
    <n v="0.66666666666666596"/>
    <n v="591.92913648132003"/>
  </r>
  <r>
    <s v="f8bd43ef-b77b-a761-1f6a-351a49197f50"/>
    <x v="1"/>
    <x v="5"/>
    <x v="0"/>
    <x v="0"/>
    <x v="7"/>
    <n v="0.46341463414634099"/>
    <n v="477.88440513530702"/>
  </r>
  <r>
    <s v="f90401b3-5ef4-17a0-9207-2e9749180ff7"/>
    <x v="25"/>
    <x v="32"/>
    <x v="0"/>
    <x v="0"/>
    <x v="6"/>
    <n v="1.1341463414634101"/>
    <n v="985.701646331848"/>
  </r>
  <r>
    <s v="f90acf66-77e6-ae39-4cde-71ad017d71fe"/>
    <x v="40"/>
    <x v="19"/>
    <x v="0"/>
    <x v="0"/>
    <x v="1"/>
    <n v="0.66666666666666596"/>
    <n v="682.60111193022396"/>
  </r>
  <r>
    <s v="f91267f3-efd5-7558-c9a5-16030105891b"/>
    <x v="21"/>
    <x v="33"/>
    <x v="1"/>
    <x v="0"/>
    <x v="6"/>
    <n v="1.1341463414634101"/>
    <n v="3615.4658673270201"/>
  </r>
  <r>
    <s v="f92ac414-57ae-4ecf-10b9-18f0cbe14c18"/>
    <x v="1"/>
    <x v="46"/>
    <x v="1"/>
    <x v="0"/>
    <x v="5"/>
    <n v="0.53252032520325199"/>
    <n v="1276.5470046693399"/>
  </r>
  <r>
    <s v="f934f764-a483-8a83-77ea-7741292e65c8"/>
    <x v="17"/>
    <x v="39"/>
    <x v="1"/>
    <x v="0"/>
    <x v="6"/>
    <n v="1.1341463414634101"/>
    <n v="3225.8669191171698"/>
  </r>
  <r>
    <s v="f939a314-0aaa-a60e-8317-023a3c79fd4d"/>
    <x v="9"/>
    <x v="0"/>
    <x v="1"/>
    <x v="0"/>
    <x v="7"/>
    <n v="0.46341463414634099"/>
    <n v="1167.70842155636"/>
  </r>
  <r>
    <s v="f978bb2c-72e9-93e4-e82b-052256f19465"/>
    <x v="15"/>
    <x v="6"/>
    <x v="0"/>
    <x v="0"/>
    <x v="7"/>
    <n v="0.46341463414634099"/>
    <n v="445.01456109045802"/>
  </r>
  <r>
    <s v="f9844c0e-c7f2-9555-5dc8-d16b3d558a94"/>
    <x v="28"/>
    <x v="39"/>
    <x v="0"/>
    <x v="0"/>
    <x v="9"/>
    <n v="1.61788617886178"/>
    <n v="1598.5708782517199"/>
  </r>
  <r>
    <s v="f985918b-f0d1-f846-0264-b07a47c40d80"/>
    <x v="21"/>
    <x v="27"/>
    <x v="1"/>
    <x v="0"/>
    <x v="0"/>
    <n v="1.1544715447154399"/>
    <n v="3576.8353404562999"/>
  </r>
  <r>
    <s v="f99092a5-38d0-34d2-6c56-e46b5f78e88a"/>
    <x v="42"/>
    <x v="16"/>
    <x v="0"/>
    <x v="0"/>
    <x v="5"/>
    <n v="0.53252032520325199"/>
    <n v="459.53406468215002"/>
  </r>
  <r>
    <s v="f9a7f1ff-c734-c20f-1ddf-ea4a07a37f41"/>
    <x v="17"/>
    <x v="8"/>
    <x v="0"/>
    <x v="0"/>
    <x v="8"/>
    <n v="0.19512195121951201"/>
    <n v="175.73442083668601"/>
  </r>
  <r>
    <s v="f9ac0522-8e12-3bfa-3b6b-1e7c02629fbd"/>
    <x v="36"/>
    <x v="2"/>
    <x v="0"/>
    <x v="0"/>
    <x v="2"/>
    <n v="1.2073170731707299"/>
    <n v="1027.1009641954799"/>
  </r>
  <r>
    <s v="f9e05dec-8f72-a142-decc-ac55d29e9d4c"/>
    <x v="37"/>
    <x v="29"/>
    <x v="1"/>
    <x v="0"/>
    <x v="6"/>
    <n v="1.1341463414634101"/>
    <n v="3025.4687659616102"/>
  </r>
  <r>
    <s v="f9fe745f-cc66-9abb-e147-ad4a9b1fbaa2"/>
    <x v="36"/>
    <x v="26"/>
    <x v="0"/>
    <x v="0"/>
    <x v="0"/>
    <n v="1.1544715447154399"/>
    <n v="1216.2446365830499"/>
  </r>
  <r>
    <s v="fa1c5ba5-02e5-1aa1-0664-24695b2db1d1"/>
    <x v="1"/>
    <x v="26"/>
    <x v="0"/>
    <x v="0"/>
    <x v="9"/>
    <n v="1.61788617886178"/>
    <n v="1704.45551183118"/>
  </r>
  <r>
    <s v="fa306819-7cc8-3581-dd9e-2cb4bc427abf"/>
    <x v="15"/>
    <x v="28"/>
    <x v="1"/>
    <x v="0"/>
    <x v="3"/>
    <n v="1.11788617886178"/>
    <n v="2919.0166572155799"/>
  </r>
  <r>
    <s v="fa553dab-9842-6788-6909-04f263bb5ceb"/>
    <x v="7"/>
    <x v="17"/>
    <x v="1"/>
    <x v="0"/>
    <x v="8"/>
    <n v="0.19512195121951201"/>
    <n v="535.56126980989802"/>
  </r>
  <r>
    <s v="fa571749-f614-ab1a-d86d-49d646741a62"/>
    <x v="34"/>
    <x v="27"/>
    <x v="1"/>
    <x v="0"/>
    <x v="4"/>
    <n v="1.70325203252032"/>
    <n v="5277.0915762365903"/>
  </r>
  <r>
    <s v="fa6612ec-46c1-9100-a171-77c0e6a89377"/>
    <x v="2"/>
    <x v="36"/>
    <x v="1"/>
    <x v="0"/>
    <x v="0"/>
    <n v="1.1544715447154399"/>
    <n v="3260.3612287764299"/>
  </r>
  <r>
    <s v="fa6d449b-ccce-b0dd-045b-47e4e3865f64"/>
    <x v="21"/>
    <x v="38"/>
    <x v="1"/>
    <x v="0"/>
    <x v="3"/>
    <n v="1.11788617886178"/>
    <n v="3024.89909298972"/>
  </r>
  <r>
    <s v="fa767ae1-529d-ebfd-6872-5678d41cbe0b"/>
    <x v="1"/>
    <x v="37"/>
    <x v="1"/>
    <x v="0"/>
    <x v="5"/>
    <n v="0.53252032520325199"/>
    <n v="1267.4824283181299"/>
  </r>
  <r>
    <s v="fa7ae101-8496-a636-6be2-8bb8136e2b7b"/>
    <x v="6"/>
    <x v="37"/>
    <x v="0"/>
    <x v="0"/>
    <x v="9"/>
    <n v="1.61788617886178"/>
    <n v="1337.7048601214101"/>
  </r>
  <r>
    <s v="fa9083fc-6b07-2f03-4b52-6316d8170fbd"/>
    <x v="25"/>
    <x v="14"/>
    <x v="0"/>
    <x v="0"/>
    <x v="8"/>
    <n v="0.19512195121951201"/>
    <n v="174.48655603469899"/>
  </r>
  <r>
    <s v="fa94c58e-d05e-c9b4-37d6-7a162b0c1056"/>
    <x v="38"/>
    <x v="46"/>
    <x v="0"/>
    <x v="0"/>
    <x v="8"/>
    <n v="0.19512195121951201"/>
    <n v="162.485022142502"/>
  </r>
  <r>
    <s v="faa4ed5a-9bfd-57fe-68a6-79d1377522b5"/>
    <x v="28"/>
    <x v="25"/>
    <x v="1"/>
    <x v="0"/>
    <x v="8"/>
    <n v="0.19512195121951201"/>
    <n v="498.72429579286802"/>
  </r>
  <r>
    <s v="faca90b2-c05a-1691-be40-df32831ce5d3"/>
    <x v="14"/>
    <x v="29"/>
    <x v="1"/>
    <x v="0"/>
    <x v="5"/>
    <n v="0.53252032520325199"/>
    <n v="1420.5606033726499"/>
  </r>
  <r>
    <s v="fafe5647-8fd2-4bb4-24d4-cc2ed67d839a"/>
    <x v="15"/>
    <x v="37"/>
    <x v="0"/>
    <x v="0"/>
    <x v="6"/>
    <n v="1.1341463414634101"/>
    <n v="937.737829080084"/>
  </r>
  <r>
    <s v="fb30498c-ea5d-fa99-d49e-0b8520a63caf"/>
    <x v="25"/>
    <x v="26"/>
    <x v="0"/>
    <x v="0"/>
    <x v="4"/>
    <n v="1.70325203252032"/>
    <n v="1794.3890941137299"/>
  </r>
  <r>
    <s v="fb3cb405-1129-7f68-426e-e47f5a866c21"/>
    <x v="21"/>
    <x v="14"/>
    <x v="0"/>
    <x v="0"/>
    <x v="5"/>
    <n v="0.53252032520325199"/>
    <n v="476.20289251136597"/>
  </r>
  <r>
    <s v="fb3f4be4-4997-9210-4266-e1dffbbaaa81"/>
    <x v="13"/>
    <x v="19"/>
    <x v="1"/>
    <x v="0"/>
    <x v="2"/>
    <n v="1.2073170731707299"/>
    <n v="3558.54950042779"/>
  </r>
  <r>
    <s v="fb811477-e8db-e615-34a0-bdd26ffaf50b"/>
    <x v="15"/>
    <x v="18"/>
    <x v="1"/>
    <x v="0"/>
    <x v="4"/>
    <n v="1.70325203252032"/>
    <n v="5202.4139246792402"/>
  </r>
  <r>
    <s v="fb9f011b-d856-4a4e-de11-80380fd7cf22"/>
    <x v="0"/>
    <x v="45"/>
    <x v="1"/>
    <x v="0"/>
    <x v="7"/>
    <n v="0.46341463414634099"/>
    <n v="1356.2087739372801"/>
  </r>
  <r>
    <s v="fba39981-c65a-dfb6-0eac-ec9a7424e3ad"/>
    <x v="36"/>
    <x v="17"/>
    <x v="0"/>
    <x v="0"/>
    <x v="9"/>
    <n v="1.61788617886178"/>
    <n v="1542.61510149898"/>
  </r>
  <r>
    <s v="fbaff6ad-6a51-5de3-8064-4711510461a7"/>
    <x v="1"/>
    <x v="19"/>
    <x v="1"/>
    <x v="0"/>
    <x v="5"/>
    <n v="0.53252032520325199"/>
    <n v="1569.59590759609"/>
  </r>
  <r>
    <s v="fc2841da-fe80-8295-58ff-894747c926eb"/>
    <x v="2"/>
    <x v="37"/>
    <x v="1"/>
    <x v="0"/>
    <x v="3"/>
    <n v="1.11788617886178"/>
    <n v="2660.74555562967"/>
  </r>
  <r>
    <s v="fc782fc5-2376-6a9b-5dda-9d18fb5a4ccf"/>
    <x v="40"/>
    <x v="1"/>
    <x v="0"/>
    <x v="0"/>
    <x v="4"/>
    <n v="1.70325203252032"/>
    <n v="1501.56808484459"/>
  </r>
  <r>
    <s v="fc7ca08d-96ad-73a3-db6c-daa5d8407d37"/>
    <x v="15"/>
    <x v="20"/>
    <x v="1"/>
    <x v="0"/>
    <x v="2"/>
    <n v="1.2073170731707299"/>
    <n v="2914.85414546422"/>
  </r>
  <r>
    <s v="fc851608-8234-2ae0-2ee3-577b0fe60c6c"/>
    <x v="1"/>
    <x v="0"/>
    <x v="0"/>
    <x v="0"/>
    <x v="7"/>
    <n v="0.46341463414634099"/>
    <n v="405.64020513038002"/>
  </r>
  <r>
    <s v="fc894a5e-c3a3-441f-9327-87f70c7d530d"/>
    <x v="6"/>
    <x v="19"/>
    <x v="1"/>
    <x v="0"/>
    <x v="6"/>
    <n v="1.1341463414634101"/>
    <n v="3342.8798337352"/>
  </r>
  <r>
    <s v="fd16febe-6461-56e9-5f5e-1763605cdb4c"/>
    <x v="8"/>
    <x v="36"/>
    <x v="1"/>
    <x v="0"/>
    <x v="3"/>
    <n v="1.11788617886178"/>
    <n v="3157.0399222307001"/>
  </r>
  <r>
    <s v="fd53ffc5-8018-e498-f8fb-0957f61a3696"/>
    <x v="31"/>
    <x v="33"/>
    <x v="0"/>
    <x v="0"/>
    <x v="4"/>
    <n v="1.70325203252032"/>
    <n v="1886.16927821173"/>
  </r>
  <r>
    <s v="fd645adf-f8ac-7847-b1b7-d6eb73f925f3"/>
    <x v="2"/>
    <x v="46"/>
    <x v="0"/>
    <x v="0"/>
    <x v="9"/>
    <n v="1.61788617886178"/>
    <n v="1347.27164193158"/>
  </r>
  <r>
    <s v="fd691004-5a9a-9668-af87-3180c32fb8aa"/>
    <x v="1"/>
    <x v="35"/>
    <x v="0"/>
    <x v="0"/>
    <x v="3"/>
    <n v="1.11788617886178"/>
    <n v="1021.26398858459"/>
  </r>
  <r>
    <s v="fd69aa80-52b9-793d-339f-18184cb95137"/>
    <x v="28"/>
    <x v="31"/>
    <x v="0"/>
    <x v="1"/>
    <x v="7"/>
    <n v="0.46341463414634099"/>
    <n v="539.454122350543"/>
  </r>
  <r>
    <s v="fd6b6023-ff6e-1790-a18b-356e5c169fe8"/>
    <x v="6"/>
    <x v="40"/>
    <x v="0"/>
    <x v="0"/>
    <x v="3"/>
    <n v="1.11788617886178"/>
    <n v="1112.4394519611001"/>
  </r>
  <r>
    <s v="fdaaa516-b18f-d7e8-20f2-e3c6729c6133"/>
    <x v="7"/>
    <x v="1"/>
    <x v="1"/>
    <x v="0"/>
    <x v="1"/>
    <n v="0.66666666666666596"/>
    <n v="1691.87499862293"/>
  </r>
  <r>
    <s v="fdc76ec3-fe5b-e8fe-4f75-25a7731fe0ec"/>
    <x v="32"/>
    <x v="27"/>
    <x v="1"/>
    <x v="0"/>
    <x v="0"/>
    <n v="1.1544715447154399"/>
    <n v="3576.8353404562999"/>
  </r>
  <r>
    <s v="fdc867a6-26b8-0037-e82d-79fbf2c520fc"/>
    <x v="13"/>
    <x v="6"/>
    <x v="1"/>
    <x v="0"/>
    <x v="6"/>
    <n v="1.1341463414634101"/>
    <n v="3135.2125735232198"/>
  </r>
  <r>
    <s v="fdd83958-5b59-2bd4-d353-63643edb514d"/>
    <x v="15"/>
    <x v="21"/>
    <x v="0"/>
    <x v="0"/>
    <x v="7"/>
    <n v="0.46341463414634099"/>
    <n v="464.45474448800599"/>
  </r>
  <r>
    <s v="fde8ef36-08b7-1c42-c813-1fc3ca634f0b"/>
    <x v="41"/>
    <x v="10"/>
    <x v="1"/>
    <x v="0"/>
    <x v="3"/>
    <n v="1.11788617886178"/>
    <n v="2718.2408602740002"/>
  </r>
  <r>
    <s v="fdf5c81a-795a-75d2-e1bb-051f2ac915a8"/>
    <x v="4"/>
    <x v="23"/>
    <x v="1"/>
    <x v="0"/>
    <x v="0"/>
    <n v="1.1544715447154399"/>
    <n v="3057.8202110441698"/>
  </r>
  <r>
    <s v="fe0c68cf-6bc8-3acf-d1a6-ff438bd5dca4"/>
    <x v="17"/>
    <x v="5"/>
    <x v="1"/>
    <x v="0"/>
    <x v="0"/>
    <n v="1.1544715447154399"/>
    <n v="3427.1235852712898"/>
  </r>
  <r>
    <s v="fe8f575d-a601-fee9-5211-d78094a9900f"/>
    <x v="21"/>
    <x v="22"/>
    <x v="0"/>
    <x v="0"/>
    <x v="3"/>
    <n v="1.11788617886178"/>
    <n v="1043.33219575371"/>
  </r>
  <r>
    <s v="feb7f055-ced6-19ce-6e9c-6c69087a288a"/>
    <x v="1"/>
    <x v="13"/>
    <x v="0"/>
    <x v="0"/>
    <x v="9"/>
    <n v="1.61788617886178"/>
    <n v="1386.2278613815899"/>
  </r>
  <r>
    <s v="fed75593-94ae-b12a-3d9b-588232c84707"/>
    <x v="1"/>
    <x v="47"/>
    <x v="0"/>
    <x v="0"/>
    <x v="1"/>
    <n v="0.66666666666666596"/>
    <n v="547.30096921275106"/>
  </r>
  <r>
    <s v="fed8703c-1954-c26e-4f65-e8187720ea0c"/>
    <x v="38"/>
    <x v="39"/>
    <x v="0"/>
    <x v="0"/>
    <x v="5"/>
    <n v="0.53252032520325199"/>
    <n v="526.16277650999098"/>
  </r>
  <r>
    <s v="fee345ee-6443-ac87-01c9-23476df0457e"/>
    <x v="46"/>
    <x v="23"/>
    <x v="0"/>
    <x v="0"/>
    <x v="1"/>
    <n v="0.66666666666666596"/>
    <n v="613.40037359173596"/>
  </r>
  <r>
    <s v="fee7e95c-05fe-6bdc-da24-39ea1ceb4247"/>
    <x v="7"/>
    <x v="34"/>
    <x v="0"/>
    <x v="0"/>
    <x v="3"/>
    <n v="1.11788617886178"/>
    <n v="1058.3086277141599"/>
  </r>
  <r>
    <s v="fef57cc7-0192-e589-80c6-c8ab230d6e0a"/>
    <x v="28"/>
    <x v="29"/>
    <x v="0"/>
    <x v="0"/>
    <x v="6"/>
    <n v="1.1341463414634101"/>
    <n v="1050.9916244369499"/>
  </r>
  <r>
    <s v="ff2603d7-b6ba-ec75-0fd3-ae91a882dfce"/>
    <x v="14"/>
    <x v="16"/>
    <x v="0"/>
    <x v="0"/>
    <x v="5"/>
    <n v="0.53252032520325199"/>
    <n v="459.53406468215002"/>
  </r>
  <r>
    <s v="ff3073f2-7234-c4f7-e646-f8287a587d0e"/>
    <x v="28"/>
    <x v="20"/>
    <x v="0"/>
    <x v="0"/>
    <x v="7"/>
    <n v="0.46341463414634099"/>
    <n v="388.66175873761699"/>
  </r>
  <r>
    <s v="ff4e054d-1ca9-98df-5b19-83f33ef7d710"/>
    <x v="15"/>
    <x v="30"/>
    <x v="1"/>
    <x v="0"/>
    <x v="1"/>
    <n v="0.66666666666666596"/>
    <n v="1553.2090364416599"/>
  </r>
  <r>
    <s v="ff59039d-ef18-03d2-ac76-0f3c54c01e35"/>
    <x v="6"/>
    <x v="32"/>
    <x v="0"/>
    <x v="0"/>
    <x v="3"/>
    <n v="1.11788617886178"/>
    <n v="971.56972308694696"/>
  </r>
  <r>
    <s v="ff71dfb0-fa66-fd51-f300-3efd7ce6d392"/>
    <x v="27"/>
    <x v="32"/>
    <x v="1"/>
    <x v="0"/>
    <x v="1"/>
    <n v="0.66666666666666596"/>
    <n v="1667.9327854169501"/>
  </r>
  <r>
    <s v="ff945784-514c-d982-c42e-d3619efc7fc9"/>
    <x v="14"/>
    <x v="8"/>
    <x v="1"/>
    <x v="0"/>
    <x v="5"/>
    <n v="0.53252032520325199"/>
    <n v="1380.6395542084299"/>
  </r>
  <r>
    <s v="ffa9a172-74c6-2a14-b72a-5544f7cd14ae"/>
    <x v="2"/>
    <x v="8"/>
    <x v="1"/>
    <x v="0"/>
    <x v="2"/>
    <n v="1.2073170731707299"/>
    <n v="3130.152271755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EB125-3506-4E3A-A344-C5D4521A2151}" name="PivotTable8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8:B21" firstHeaderRow="1" firstDataRow="1" firstDataCol="1"/>
  <pivotFields count="8">
    <pivotField showAll="0"/>
    <pivotField showAll="0"/>
    <pivotField showAll="0"/>
    <pivotField showAll="0"/>
    <pivotField axis="axisRow" dataField="1" showAll="0">
      <items count="5">
        <item m="1" x="2"/>
        <item m="1" x="3"/>
        <item x="0"/>
        <item x="1"/>
        <item t="default"/>
      </items>
    </pivotField>
    <pivotField showAll="0"/>
    <pivotField showAll="0"/>
    <pivotField numFmtId="2" showAll="0"/>
  </pivotFields>
  <rowFields count="1">
    <field x="4"/>
  </rowFields>
  <rowItems count="3">
    <i>
      <x v="2"/>
    </i>
    <i>
      <x v="3"/>
    </i>
    <i t="grand">
      <x/>
    </i>
  </rowItems>
  <colItems count="1">
    <i/>
  </colItems>
  <dataFields count="1">
    <dataField name="Count of is_smoker" fld="4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CDE3D-936A-4243-ADE6-02E8B47ABE9C}" name="PivotTable3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55" firstHeaderRow="1" firstDataRow="1" firstDataCol="1"/>
  <pivotFields count="8">
    <pivotField showAll="0"/>
    <pivotField axis="axisRow" showAll="0">
      <items count="52">
        <item x="15"/>
        <item x="49"/>
        <item x="33"/>
        <item x="25"/>
        <item x="0"/>
        <item x="3"/>
        <item x="18"/>
        <item x="11"/>
        <item x="14"/>
        <item x="27"/>
        <item x="20"/>
        <item x="39"/>
        <item x="8"/>
        <item x="23"/>
        <item x="26"/>
        <item x="41"/>
        <item x="7"/>
        <item x="36"/>
        <item x="35"/>
        <item x="42"/>
        <item x="2"/>
        <item x="29"/>
        <item x="31"/>
        <item x="6"/>
        <item x="30"/>
        <item x="47"/>
        <item x="12"/>
        <item x="5"/>
        <item x="4"/>
        <item x="40"/>
        <item x="48"/>
        <item x="21"/>
        <item x="43"/>
        <item x="10"/>
        <item x="24"/>
        <item x="45"/>
        <item x="44"/>
        <item x="13"/>
        <item x="17"/>
        <item x="37"/>
        <item x="22"/>
        <item x="32"/>
        <item x="9"/>
        <item x="19"/>
        <item x="50"/>
        <item x="46"/>
        <item x="34"/>
        <item x="1"/>
        <item x="38"/>
        <item x="16"/>
        <item x="28"/>
        <item t="default"/>
      </items>
    </pivotField>
    <pivotField showAll="0"/>
    <pivotField showAll="0"/>
    <pivotField showAll="0"/>
    <pivotField showAll="0"/>
    <pivotField showAll="0"/>
    <pivotField dataField="1" numFmtId="2" showAll="0"/>
  </pivotFields>
  <rowFields count="1">
    <field x="1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Average of final_loaded_premium_rm" fld="7" subtotal="average" baseField="2" baseItem="1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3045B1-89DA-4427-834C-55C95A7466D4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2:B15" firstHeaderRow="1" firstDataRow="1" firstDataCol="1"/>
  <pivotFields count="8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numFmtId="2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final_loaded_premium_rm" fld="7" subtotal="average" baseField="2" baseItem="1" numFmtId="2"/>
  </dataField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16A78-0279-4056-89FC-4B9FB8DF53EC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9" firstHeaderRow="1" firstDataRow="1" firstDataCol="1"/>
  <pivotFields count="8"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dataField="1" numFmtId="2" showAll="0"/>
  </pivotFields>
  <rowFields count="1">
    <field x="2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final_loaded_premium_rm" fld="7" subtotal="average" baseField="2" baseItem="1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A13E9-2E49-43BA-95A1-A0E816171625}" name="PivotTable1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4:B27" firstHeaderRow="1" firstDataRow="1" firstDataCol="1"/>
  <pivotFields count="8"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dataField="1" numFmtId="2" showAll="0"/>
  </pivotFields>
  <rowFields count="1">
    <field x="4"/>
  </rowFields>
  <rowItems count="3">
    <i>
      <x v="2"/>
    </i>
    <i>
      <x v="3"/>
    </i>
    <i t="grand">
      <x/>
    </i>
  </rowItems>
  <colItems count="1">
    <i/>
  </colItems>
  <dataFields count="1">
    <dataField name="Average of final_loaded_premium_rm" fld="7" subtotal="average" baseField="2" baseItem="1" numFmtId="2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F435F-5414-4C61-9CB8-AB4AC1466F41}" name="PivotTable9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0:B41" firstHeaderRow="1" firstDataRow="1" firstDataCol="1"/>
  <pivotFields count="8">
    <pivotField showAll="0"/>
    <pivotField showAll="0"/>
    <pivotField showAll="0"/>
    <pivotField showAll="0"/>
    <pivotField showAll="0"/>
    <pivotField axis="axisRow" showAll="0" sortType="ascending">
      <items count="12">
        <item x="1"/>
        <item x="4"/>
        <item x="2"/>
        <item m="1" x="10"/>
        <item x="8"/>
        <item x="9"/>
        <item x="0"/>
        <item x="7"/>
        <item x="6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/>
  </pivotFields>
  <rowFields count="1">
    <field x="5"/>
  </rowFields>
  <rowItems count="11">
    <i>
      <x v="4"/>
    </i>
    <i>
      <x v="7"/>
    </i>
    <i>
      <x v="10"/>
    </i>
    <i>
      <x/>
    </i>
    <i>
      <x v="9"/>
    </i>
    <i>
      <x v="6"/>
    </i>
    <i>
      <x v="8"/>
    </i>
    <i>
      <x v="2"/>
    </i>
    <i>
      <x v="5"/>
    </i>
    <i>
      <x v="1"/>
    </i>
    <i t="grand">
      <x/>
    </i>
  </rowItems>
  <colItems count="1">
    <i/>
  </colItems>
  <dataFields count="1">
    <dataField name="Average of final_loaded_premium_rm" fld="7" subtotal="average" baseField="2" baseItem="1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8ABF19-C747-4E17-B372-A47846A66575}" name="Table1" displayName="Table1" ref="A1:H1920" totalsRowShown="0">
  <autoFilter ref="A1:H1920" xr:uid="{B98ABF19-C747-4E17-B372-A47846A66575}"/>
  <tableColumns count="8">
    <tableColumn id="1" xr3:uid="{A9251921-88E2-47B3-A34A-B29841B31064}" name="patient_id"/>
    <tableColumn id="2" xr3:uid="{5F72974E-B85D-49D8-97DA-AA717616A135}" name="Company_ID"/>
    <tableColumn id="3" xr3:uid="{0A114CE9-7356-4E7C-BB51-00D29F40B683}" name="age"/>
    <tableColumn id="4" xr3:uid="{3D63E7E2-6140-41DE-BD79-2C75B3FD481C}" name="GENDER"/>
    <tableColumn id="5" xr3:uid="{0F061F28-E603-48C0-A900-9ABAA92552BF}" name="is_smoker">
      <calculatedColumnFormula>IF(Table1[[#This Row],[is_smoker]]=0,"non-smoker","smoker")</calculatedColumnFormula>
    </tableColumn>
    <tableColumn id="6" xr3:uid="{65F1C9F9-90A8-41F3-8993-AA5794C07A95}" name="industry_sector"/>
    <tableColumn id="7" xr3:uid="{FBC4ADA8-06A6-4AB5-BCBC-D0D90F556FF9}" name="risk_multiplier" dataDxfId="1"/>
    <tableColumn id="8" xr3:uid="{709D710B-B1BE-4EAA-9362-B2F0EF8C90B0}" name="final_loaded_premium_r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1BD5-B2D2-4DCD-8B2F-E56628A6DC5B}">
  <dimension ref="A2:P55"/>
  <sheetViews>
    <sheetView tabSelected="1" zoomScale="55" zoomScaleNormal="55" workbookViewId="0">
      <selection activeCell="Q47" sqref="Q47"/>
    </sheetView>
  </sheetViews>
  <sheetFormatPr defaultRowHeight="14.4" x14ac:dyDescent="0.3"/>
  <cols>
    <col min="1" max="1" width="38.6640625" bestFit="1" customWidth="1"/>
    <col min="2" max="2" width="44.33203125" bestFit="1" customWidth="1"/>
    <col min="3" max="3" width="6.88671875" customWidth="1"/>
    <col min="4" max="4" width="6.21875" customWidth="1"/>
    <col min="5" max="5" width="18.44140625" bestFit="1" customWidth="1"/>
    <col min="6" max="6" width="44.33203125" bestFit="1" customWidth="1"/>
    <col min="7" max="12" width="10.88671875" bestFit="1" customWidth="1"/>
    <col min="13" max="13" width="2.88671875" customWidth="1"/>
    <col min="14" max="14" width="17.44140625" bestFit="1" customWidth="1"/>
    <col min="15" max="15" width="17.5546875" bestFit="1" customWidth="1"/>
    <col min="16" max="16" width="18.21875" bestFit="1" customWidth="1"/>
    <col min="17" max="52" width="10.88671875" bestFit="1" customWidth="1"/>
    <col min="53" max="53" width="10.5546875" bestFit="1" customWidth="1"/>
  </cols>
  <sheetData>
    <row r="2" spans="1:16" ht="15" thickBot="1" x14ac:dyDescent="0.35"/>
    <row r="3" spans="1:16" x14ac:dyDescent="0.3">
      <c r="A3" s="5" t="s">
        <v>1989</v>
      </c>
      <c r="B3" t="s">
        <v>1996</v>
      </c>
      <c r="E3" s="5" t="s">
        <v>1989</v>
      </c>
      <c r="F3" t="s">
        <v>1996</v>
      </c>
      <c r="N3" s="4" t="s">
        <v>1999</v>
      </c>
      <c r="O3" s="3" t="s">
        <v>2000</v>
      </c>
      <c r="P3" s="7" t="s">
        <v>2001</v>
      </c>
    </row>
    <row r="4" spans="1:16" ht="24" thickBot="1" x14ac:dyDescent="0.5">
      <c r="A4" s="6" t="s">
        <v>1991</v>
      </c>
      <c r="B4" s="2">
        <v>1998.7585178861636</v>
      </c>
      <c r="E4" s="6" t="s">
        <v>50</v>
      </c>
      <c r="F4" s="2">
        <v>1796.2356074224713</v>
      </c>
      <c r="N4" s="8">
        <f>GETPIVOTDATA("is_smoker",'Pivot tables'!$A$18)</f>
        <v>1919</v>
      </c>
      <c r="O4" s="9">
        <f>GETPIVOTDATA("is_smoker",$A$18,"is_smoker","smoker")</f>
        <v>45</v>
      </c>
      <c r="P4" s="10">
        <f>GETPIVOTDATA("is_smoker",$A$18,"is_smoker","non-smoker")</f>
        <v>1874</v>
      </c>
    </row>
    <row r="5" spans="1:16" x14ac:dyDescent="0.3">
      <c r="A5" s="6" t="s">
        <v>1992</v>
      </c>
      <c r="B5" s="2">
        <v>1973.7631979655309</v>
      </c>
      <c r="E5" s="6" t="s">
        <v>584</v>
      </c>
      <c r="F5" s="2">
        <v>2010.0558067994396</v>
      </c>
    </row>
    <row r="6" spans="1:16" x14ac:dyDescent="0.3">
      <c r="A6" s="6" t="s">
        <v>1993</v>
      </c>
      <c r="B6" s="2">
        <v>1651.7575352357881</v>
      </c>
      <c r="E6" s="6" t="s">
        <v>170</v>
      </c>
      <c r="F6" s="2">
        <v>1889.6930244059263</v>
      </c>
    </row>
    <row r="7" spans="1:16" x14ac:dyDescent="0.3">
      <c r="A7" s="6" t="s">
        <v>1994</v>
      </c>
      <c r="B7" s="2">
        <v>1714.4011523675756</v>
      </c>
      <c r="E7" s="6" t="s">
        <v>92</v>
      </c>
      <c r="F7" s="2">
        <v>1719.0957836555481</v>
      </c>
    </row>
    <row r="8" spans="1:16" x14ac:dyDescent="0.3">
      <c r="A8" s="6" t="s">
        <v>1995</v>
      </c>
      <c r="B8" s="2">
        <v>1578.5353539420564</v>
      </c>
      <c r="E8" s="6" t="s">
        <v>9</v>
      </c>
      <c r="F8" s="2">
        <v>1537.3398714544937</v>
      </c>
    </row>
    <row r="9" spans="1:16" x14ac:dyDescent="0.3">
      <c r="A9" s="6" t="s">
        <v>1990</v>
      </c>
      <c r="B9" s="2">
        <v>1799.9999999999923</v>
      </c>
      <c r="E9" s="6" t="s">
        <v>21</v>
      </c>
      <c r="F9" s="2">
        <v>1582.7844494697058</v>
      </c>
    </row>
    <row r="10" spans="1:16" x14ac:dyDescent="0.3">
      <c r="E10" s="6" t="s">
        <v>63</v>
      </c>
      <c r="F10" s="2">
        <v>1578.7922297299681</v>
      </c>
    </row>
    <row r="11" spans="1:16" x14ac:dyDescent="0.3">
      <c r="E11" s="6" t="s">
        <v>39</v>
      </c>
      <c r="F11" s="2">
        <v>1267.3455626722784</v>
      </c>
    </row>
    <row r="12" spans="1:16" x14ac:dyDescent="0.3">
      <c r="A12" s="5" t="s">
        <v>1989</v>
      </c>
      <c r="B12" t="s">
        <v>1996</v>
      </c>
      <c r="E12" s="6" t="s">
        <v>46</v>
      </c>
      <c r="F12" s="2">
        <v>2032.7034122761413</v>
      </c>
    </row>
    <row r="13" spans="1:16" x14ac:dyDescent="0.3">
      <c r="A13" s="6" t="s">
        <v>17</v>
      </c>
      <c r="B13" s="2">
        <v>2589.5566380951896</v>
      </c>
      <c r="E13" s="6" t="s">
        <v>110</v>
      </c>
      <c r="F13" s="2">
        <v>1668.0140113191294</v>
      </c>
    </row>
    <row r="14" spans="1:16" x14ac:dyDescent="0.3">
      <c r="A14" s="6" t="s">
        <v>10</v>
      </c>
      <c r="B14" s="2">
        <v>939.05643275240197</v>
      </c>
      <c r="E14" s="6" t="s">
        <v>78</v>
      </c>
      <c r="F14" s="2">
        <v>1802.0835945525246</v>
      </c>
    </row>
    <row r="15" spans="1:16" x14ac:dyDescent="0.3">
      <c r="A15" s="6" t="s">
        <v>1990</v>
      </c>
      <c r="B15" s="2">
        <v>1799.9999999999902</v>
      </c>
      <c r="E15" s="6" t="s">
        <v>243</v>
      </c>
      <c r="F15" s="2">
        <v>1254.6098672617791</v>
      </c>
    </row>
    <row r="16" spans="1:16" x14ac:dyDescent="0.3">
      <c r="E16" s="6" t="s">
        <v>33</v>
      </c>
      <c r="F16" s="2">
        <v>2149.3972087899533</v>
      </c>
    </row>
    <row r="17" spans="1:6" x14ac:dyDescent="0.3">
      <c r="E17" s="6" t="s">
        <v>88</v>
      </c>
      <c r="F17" s="2">
        <v>1412.0971737038687</v>
      </c>
    </row>
    <row r="18" spans="1:6" x14ac:dyDescent="0.3">
      <c r="A18" s="5" t="s">
        <v>1989</v>
      </c>
      <c r="B18" t="s">
        <v>1998</v>
      </c>
      <c r="E18" s="6" t="s">
        <v>106</v>
      </c>
      <c r="F18" s="2">
        <v>2044.894329040297</v>
      </c>
    </row>
    <row r="19" spans="1:6" x14ac:dyDescent="0.3">
      <c r="A19" s="6" t="s">
        <v>2002</v>
      </c>
      <c r="B19" s="11">
        <v>1874</v>
      </c>
      <c r="E19" s="6" t="s">
        <v>254</v>
      </c>
      <c r="F19" s="2">
        <v>1418.9612640282066</v>
      </c>
    </row>
    <row r="20" spans="1:6" x14ac:dyDescent="0.3">
      <c r="A20" s="6" t="s">
        <v>2003</v>
      </c>
      <c r="B20" s="11">
        <v>45</v>
      </c>
      <c r="E20" s="6" t="s">
        <v>31</v>
      </c>
      <c r="F20" s="2">
        <v>1653.5200655700662</v>
      </c>
    </row>
    <row r="21" spans="1:6" x14ac:dyDescent="0.3">
      <c r="A21" s="6" t="s">
        <v>1990</v>
      </c>
      <c r="B21" s="11">
        <v>1919</v>
      </c>
      <c r="E21" s="6" t="s">
        <v>192</v>
      </c>
      <c r="F21" s="2">
        <v>1969.3053057780537</v>
      </c>
    </row>
    <row r="22" spans="1:6" x14ac:dyDescent="0.3">
      <c r="E22" s="6" t="s">
        <v>178</v>
      </c>
      <c r="F22" s="2">
        <v>1603.6219618141583</v>
      </c>
    </row>
    <row r="23" spans="1:6" x14ac:dyDescent="0.3">
      <c r="E23" s="6" t="s">
        <v>265</v>
      </c>
      <c r="F23" s="2">
        <v>934.46152742331219</v>
      </c>
    </row>
    <row r="24" spans="1:6" x14ac:dyDescent="0.3">
      <c r="A24" s="5" t="s">
        <v>1989</v>
      </c>
      <c r="B24" t="s">
        <v>1996</v>
      </c>
      <c r="E24" s="6" t="s">
        <v>16</v>
      </c>
      <c r="F24" s="2">
        <v>1891.7196717425704</v>
      </c>
    </row>
    <row r="25" spans="1:6" x14ac:dyDescent="0.3">
      <c r="A25" s="6" t="s">
        <v>2002</v>
      </c>
      <c r="B25" s="2">
        <v>1787.1927299637173</v>
      </c>
      <c r="E25" s="6" t="s">
        <v>128</v>
      </c>
      <c r="F25" s="2">
        <v>1740.5951048133952</v>
      </c>
    </row>
    <row r="26" spans="1:6" x14ac:dyDescent="0.3">
      <c r="A26" s="6" t="s">
        <v>2003</v>
      </c>
      <c r="B26" s="2">
        <v>2333.351645510721</v>
      </c>
      <c r="E26" s="6" t="s">
        <v>157</v>
      </c>
      <c r="F26" s="2">
        <v>1665.3474679584808</v>
      </c>
    </row>
    <row r="27" spans="1:6" x14ac:dyDescent="0.3">
      <c r="A27" s="6" t="s">
        <v>1990</v>
      </c>
      <c r="B27" s="2">
        <v>1799.9999999999934</v>
      </c>
      <c r="E27" s="6" t="s">
        <v>29</v>
      </c>
      <c r="F27" s="2">
        <v>1721.2832376317608</v>
      </c>
    </row>
    <row r="28" spans="1:6" x14ac:dyDescent="0.3">
      <c r="E28" s="6" t="s">
        <v>135</v>
      </c>
      <c r="F28" s="2">
        <v>2342.6239594925773</v>
      </c>
    </row>
    <row r="29" spans="1:6" x14ac:dyDescent="0.3">
      <c r="E29" s="6" t="s">
        <v>472</v>
      </c>
      <c r="F29" s="2">
        <v>2008.8162903640325</v>
      </c>
    </row>
    <row r="30" spans="1:6" x14ac:dyDescent="0.3">
      <c r="A30" s="5" t="s">
        <v>1989</v>
      </c>
      <c r="B30" t="s">
        <v>1996</v>
      </c>
      <c r="E30" s="6" t="s">
        <v>41</v>
      </c>
      <c r="F30" s="2">
        <v>2103.7089375366882</v>
      </c>
    </row>
    <row r="31" spans="1:6" x14ac:dyDescent="0.3">
      <c r="A31" s="6" t="s">
        <v>56</v>
      </c>
      <c r="B31" s="2">
        <v>381.87673001430443</v>
      </c>
      <c r="E31" s="6" t="s">
        <v>26</v>
      </c>
      <c r="F31" s="2">
        <v>1648.296285652712</v>
      </c>
    </row>
    <row r="32" spans="1:6" x14ac:dyDescent="0.3">
      <c r="A32" s="6" t="s">
        <v>48</v>
      </c>
      <c r="B32" s="2">
        <v>892.35836306951001</v>
      </c>
      <c r="E32" s="6" t="s">
        <v>23</v>
      </c>
      <c r="F32" s="2">
        <v>1806.6580730623664</v>
      </c>
    </row>
    <row r="33" spans="1:6" x14ac:dyDescent="0.3">
      <c r="A33" s="6" t="s">
        <v>27</v>
      </c>
      <c r="B33" s="2">
        <v>1024.5872343965677</v>
      </c>
      <c r="E33" s="6" t="s">
        <v>245</v>
      </c>
      <c r="F33" s="2">
        <v>1881.1623458208699</v>
      </c>
    </row>
    <row r="34" spans="1:6" x14ac:dyDescent="0.3">
      <c r="A34" s="6" t="s">
        <v>14</v>
      </c>
      <c r="B34" s="2">
        <v>1227.7041388360708</v>
      </c>
      <c r="E34" s="6" t="s">
        <v>502</v>
      </c>
      <c r="F34" s="2">
        <v>1760.6015287369523</v>
      </c>
    </row>
    <row r="35" spans="1:6" x14ac:dyDescent="0.3">
      <c r="A35" s="6" t="s">
        <v>19</v>
      </c>
      <c r="B35" s="2">
        <v>1994.4588434472398</v>
      </c>
      <c r="E35" s="6" t="s">
        <v>82</v>
      </c>
      <c r="F35" s="2">
        <v>1709.0047776246704</v>
      </c>
    </row>
    <row r="36" spans="1:6" x14ac:dyDescent="0.3">
      <c r="A36" s="6" t="s">
        <v>11</v>
      </c>
      <c r="B36" s="2">
        <v>2105.0041105681526</v>
      </c>
      <c r="E36" s="6" t="s">
        <v>272</v>
      </c>
      <c r="F36" s="2">
        <v>1355.3217068124472</v>
      </c>
    </row>
    <row r="37" spans="1:6" x14ac:dyDescent="0.3">
      <c r="A37" s="6" t="s">
        <v>44</v>
      </c>
      <c r="B37" s="2">
        <v>2206.6489700400621</v>
      </c>
      <c r="E37" s="6" t="s">
        <v>37</v>
      </c>
      <c r="F37" s="2">
        <v>2032.0188848456066</v>
      </c>
    </row>
    <row r="38" spans="1:6" x14ac:dyDescent="0.3">
      <c r="A38" s="6" t="s">
        <v>2004</v>
      </c>
      <c r="B38" s="2">
        <v>2250.0693119857724</v>
      </c>
      <c r="E38" s="6" t="s">
        <v>90</v>
      </c>
      <c r="F38" s="2">
        <v>1244.034551282748</v>
      </c>
    </row>
    <row r="39" spans="1:6" x14ac:dyDescent="0.3">
      <c r="A39" s="6" t="s">
        <v>61</v>
      </c>
      <c r="B39" s="2">
        <v>2885.7909540894393</v>
      </c>
      <c r="E39" s="6" t="s">
        <v>408</v>
      </c>
      <c r="F39" s="2">
        <v>1529.6648068211882</v>
      </c>
    </row>
    <row r="40" spans="1:6" x14ac:dyDescent="0.3">
      <c r="A40" s="6" t="s">
        <v>24</v>
      </c>
      <c r="B40" s="2">
        <v>3197.5184827559915</v>
      </c>
      <c r="E40" s="6" t="s">
        <v>383</v>
      </c>
      <c r="F40" s="2">
        <v>2333.1081962596536</v>
      </c>
    </row>
    <row r="41" spans="1:6" x14ac:dyDescent="0.3">
      <c r="A41" s="6" t="s">
        <v>1990</v>
      </c>
      <c r="B41" s="2">
        <v>1799.9999999999889</v>
      </c>
      <c r="E41" s="6" t="s">
        <v>43</v>
      </c>
      <c r="F41" s="2">
        <v>1818.3990587507506</v>
      </c>
    </row>
    <row r="42" spans="1:6" x14ac:dyDescent="0.3">
      <c r="E42" s="6" t="s">
        <v>60</v>
      </c>
      <c r="F42" s="2">
        <v>1808.7252301461845</v>
      </c>
    </row>
    <row r="43" spans="1:6" x14ac:dyDescent="0.3">
      <c r="E43" s="6" t="s">
        <v>201</v>
      </c>
      <c r="F43" s="2">
        <v>2385.3086302693914</v>
      </c>
    </row>
    <row r="44" spans="1:6" x14ac:dyDescent="0.3">
      <c r="E44" s="6" t="s">
        <v>85</v>
      </c>
      <c r="F44" s="2">
        <v>1994.1750379949788</v>
      </c>
    </row>
    <row r="45" spans="1:6" x14ac:dyDescent="0.3">
      <c r="E45" s="6" t="s">
        <v>166</v>
      </c>
      <c r="F45" s="2">
        <v>1753.2398745403862</v>
      </c>
    </row>
    <row r="46" spans="1:6" x14ac:dyDescent="0.3">
      <c r="E46" s="6" t="s">
        <v>35</v>
      </c>
      <c r="F46" s="2">
        <v>1994.568968759037</v>
      </c>
    </row>
    <row r="47" spans="1:6" x14ac:dyDescent="0.3">
      <c r="E47" s="6" t="s">
        <v>65</v>
      </c>
      <c r="F47" s="2">
        <v>1669.8797356729024</v>
      </c>
    </row>
    <row r="48" spans="1:6" x14ac:dyDescent="0.3">
      <c r="E48" s="6" t="s">
        <v>938</v>
      </c>
      <c r="F48" s="2">
        <v>2993.2824165222542</v>
      </c>
    </row>
    <row r="49" spans="5:6" x14ac:dyDescent="0.3">
      <c r="E49" s="6" t="s">
        <v>466</v>
      </c>
      <c r="F49" s="2">
        <v>875.30141142426965</v>
      </c>
    </row>
    <row r="50" spans="5:6" x14ac:dyDescent="0.3">
      <c r="E50" s="6" t="s">
        <v>175</v>
      </c>
      <c r="F50" s="2">
        <v>1595.6520726372214</v>
      </c>
    </row>
    <row r="51" spans="5:6" x14ac:dyDescent="0.3">
      <c r="E51" s="6" t="s">
        <v>13</v>
      </c>
      <c r="F51" s="2">
        <v>1780.7737251128781</v>
      </c>
    </row>
    <row r="52" spans="5:6" x14ac:dyDescent="0.3">
      <c r="E52" s="6" t="s">
        <v>229</v>
      </c>
      <c r="F52" s="2">
        <v>1415.531303520512</v>
      </c>
    </row>
    <row r="53" spans="5:6" x14ac:dyDescent="0.3">
      <c r="E53" s="6" t="s">
        <v>53</v>
      </c>
      <c r="F53" s="2">
        <v>1670.2504697515787</v>
      </c>
    </row>
    <row r="54" spans="5:6" x14ac:dyDescent="0.3">
      <c r="E54" s="6" t="s">
        <v>113</v>
      </c>
      <c r="F54" s="2">
        <v>1830.8501214682906</v>
      </c>
    </row>
    <row r="55" spans="5:6" x14ac:dyDescent="0.3">
      <c r="E55" s="6" t="s">
        <v>1990</v>
      </c>
      <c r="F55" s="2">
        <v>1799.9999999999907</v>
      </c>
    </row>
  </sheetData>
  <pageMargins left="0.7" right="0.7" top="0.75" bottom="0.75" header="0.3" footer="0.3"/>
  <pageSetup orientation="landscape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E61C-BDBF-487A-9A18-4803D165DFD4}">
  <dimension ref="A1:I1920"/>
  <sheetViews>
    <sheetView workbookViewId="0">
      <selection activeCell="L9" sqref="L9"/>
    </sheetView>
  </sheetViews>
  <sheetFormatPr defaultRowHeight="14.4" x14ac:dyDescent="0.3"/>
  <cols>
    <col min="1" max="1" width="36.33203125" bestFit="1" customWidth="1"/>
    <col min="2" max="2" width="13.33203125" customWidth="1"/>
    <col min="4" max="4" width="9.88671875" customWidth="1"/>
    <col min="5" max="5" width="11.33203125" customWidth="1"/>
    <col min="6" max="6" width="45" bestFit="1" customWidth="1"/>
    <col min="7" max="7" width="15.109375" customWidth="1"/>
    <col min="8" max="8" width="24.6640625" customWidth="1"/>
    <col min="9" max="9" width="11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1997</v>
      </c>
    </row>
    <row r="2" spans="1:9" x14ac:dyDescent="0.3">
      <c r="A2" t="s">
        <v>8</v>
      </c>
      <c r="B2" t="s">
        <v>9</v>
      </c>
      <c r="C2">
        <v>51</v>
      </c>
      <c r="D2" t="s">
        <v>10</v>
      </c>
      <c r="E2" t="str">
        <f ca="1">IF(Table1[[#This Row],[is_smoker]]=0,"non-smoker","smoker")</f>
        <v>non-smoker</v>
      </c>
      <c r="F2" t="s">
        <v>11</v>
      </c>
      <c r="G2" s="2">
        <v>1.1544715447154399</v>
      </c>
      <c r="H2" s="2">
        <v>1010.54226541252</v>
      </c>
    </row>
    <row r="3" spans="1:9" x14ac:dyDescent="0.3">
      <c r="A3" t="s">
        <v>12</v>
      </c>
      <c r="B3" t="s">
        <v>13</v>
      </c>
      <c r="C3">
        <v>50</v>
      </c>
      <c r="D3" t="s">
        <v>10</v>
      </c>
      <c r="E3" t="str">
        <f ca="1">IF(Table1[[#This Row],[is_smoker]]=0,"non-smoker","smoker")</f>
        <v>non-smoker</v>
      </c>
      <c r="F3" t="s">
        <v>14</v>
      </c>
      <c r="G3" s="2">
        <v>0.66666666666666596</v>
      </c>
      <c r="H3" s="2">
        <v>587.72593297019898</v>
      </c>
    </row>
    <row r="4" spans="1:9" x14ac:dyDescent="0.3">
      <c r="A4" t="s">
        <v>15</v>
      </c>
      <c r="B4" t="s">
        <v>16</v>
      </c>
      <c r="C4">
        <v>55</v>
      </c>
      <c r="D4" t="s">
        <v>17</v>
      </c>
      <c r="E4" t="str">
        <f ca="1">IF(Table1[[#This Row],[is_smoker]]=0,"non-smoker","smoker")</f>
        <v>non-smoker</v>
      </c>
      <c r="F4" t="s">
        <v>2004</v>
      </c>
      <c r="G4" s="2">
        <v>1.2073170731707299</v>
      </c>
      <c r="H4" s="2">
        <v>2956.6951956703201</v>
      </c>
    </row>
    <row r="5" spans="1:9" x14ac:dyDescent="0.3">
      <c r="A5" t="s">
        <v>18</v>
      </c>
      <c r="B5" t="s">
        <v>13</v>
      </c>
      <c r="C5">
        <v>26</v>
      </c>
      <c r="D5" t="s">
        <v>10</v>
      </c>
      <c r="E5" t="str">
        <f ca="1">IF(Table1[[#This Row],[is_smoker]]=0,"non-smoker","smoker")</f>
        <v>non-smoker</v>
      </c>
      <c r="F5" t="s">
        <v>19</v>
      </c>
      <c r="G5" s="2">
        <v>1.11788617886178</v>
      </c>
      <c r="H5" s="2">
        <v>1169.33898285649</v>
      </c>
    </row>
    <row r="6" spans="1:9" x14ac:dyDescent="0.3">
      <c r="A6" t="s">
        <v>20</v>
      </c>
      <c r="B6" t="s">
        <v>21</v>
      </c>
      <c r="C6">
        <v>20</v>
      </c>
      <c r="D6" t="s">
        <v>10</v>
      </c>
      <c r="E6" t="str">
        <f ca="1">IF(Table1[[#This Row],[is_smoker]]=0,"non-smoker","smoker")</f>
        <v>non-smoker</v>
      </c>
      <c r="F6" t="s">
        <v>11</v>
      </c>
      <c r="G6" s="2">
        <v>1.1544715447154399</v>
      </c>
      <c r="H6" s="2">
        <v>1260.3618718514099</v>
      </c>
    </row>
    <row r="7" spans="1:9" x14ac:dyDescent="0.3">
      <c r="A7" t="s">
        <v>22</v>
      </c>
      <c r="B7" t="s">
        <v>23</v>
      </c>
      <c r="C7">
        <v>28</v>
      </c>
      <c r="D7" t="s">
        <v>17</v>
      </c>
      <c r="E7" t="str">
        <f ca="1">IF(Table1[[#This Row],[is_smoker]]=0,"non-smoker","smoker")</f>
        <v>non-smoker</v>
      </c>
      <c r="F7" t="s">
        <v>24</v>
      </c>
      <c r="G7" s="2">
        <v>1.70325203252032</v>
      </c>
      <c r="H7" s="2">
        <v>5056.2140219319399</v>
      </c>
    </row>
    <row r="8" spans="1:9" x14ac:dyDescent="0.3">
      <c r="A8" t="s">
        <v>25</v>
      </c>
      <c r="B8" t="s">
        <v>26</v>
      </c>
      <c r="C8">
        <v>38</v>
      </c>
      <c r="D8" t="s">
        <v>17</v>
      </c>
      <c r="E8" t="str">
        <f ca="1">IF(Table1[[#This Row],[is_smoker]]=0,"non-smoker","smoker")</f>
        <v>non-smoker</v>
      </c>
      <c r="F8" t="s">
        <v>27</v>
      </c>
      <c r="G8" s="2">
        <v>0.53252032520325199</v>
      </c>
      <c r="H8" s="2">
        <v>1472.08905781915</v>
      </c>
    </row>
    <row r="9" spans="1:9" x14ac:dyDescent="0.3">
      <c r="A9" t="s">
        <v>28</v>
      </c>
      <c r="B9" t="s">
        <v>29</v>
      </c>
      <c r="C9">
        <v>23</v>
      </c>
      <c r="D9" t="s">
        <v>17</v>
      </c>
      <c r="E9" t="str">
        <f ca="1">IF(Table1[[#This Row],[is_smoker]]=0,"non-smoker","smoker")</f>
        <v>non-smoker</v>
      </c>
      <c r="F9" t="s">
        <v>11</v>
      </c>
      <c r="G9" s="2">
        <v>1.1544715447154399</v>
      </c>
      <c r="H9" s="2">
        <v>3551.4367480655301</v>
      </c>
    </row>
    <row r="10" spans="1:9" x14ac:dyDescent="0.3">
      <c r="A10" t="s">
        <v>30</v>
      </c>
      <c r="B10" t="s">
        <v>31</v>
      </c>
      <c r="C10">
        <v>28</v>
      </c>
      <c r="D10" t="s">
        <v>10</v>
      </c>
      <c r="E10" t="str">
        <f ca="1">IF(Table1[[#This Row],[is_smoker]]=0,"non-smoker","smoker")</f>
        <v>non-smoker</v>
      </c>
      <c r="F10" t="s">
        <v>2004</v>
      </c>
      <c r="G10" s="2">
        <v>1.2073170731707299</v>
      </c>
      <c r="H10" s="2">
        <v>1245.0146344314501</v>
      </c>
    </row>
    <row r="11" spans="1:9" x14ac:dyDescent="0.3">
      <c r="A11" t="s">
        <v>32</v>
      </c>
      <c r="B11" t="s">
        <v>33</v>
      </c>
      <c r="C11">
        <v>47</v>
      </c>
      <c r="D11" t="s">
        <v>17</v>
      </c>
      <c r="E11" t="str">
        <f ca="1">IF(Table1[[#This Row],[is_smoker]]=0,"non-smoker","smoker")</f>
        <v>non-smoker</v>
      </c>
      <c r="F11" t="s">
        <v>19</v>
      </c>
      <c r="G11" s="2">
        <v>1.11788617886178</v>
      </c>
      <c r="H11" s="2">
        <v>2898.2891405138898</v>
      </c>
    </row>
    <row r="12" spans="1:9" x14ac:dyDescent="0.3">
      <c r="A12" t="s">
        <v>34</v>
      </c>
      <c r="B12" t="s">
        <v>35</v>
      </c>
      <c r="C12">
        <v>19</v>
      </c>
      <c r="D12" t="s">
        <v>17</v>
      </c>
      <c r="E12" t="str">
        <f ca="1">IF(Table1[[#This Row],[is_smoker]]=0,"non-smoker","smoker")</f>
        <v>non-smoker</v>
      </c>
      <c r="F12" t="s">
        <v>14</v>
      </c>
      <c r="G12" s="2">
        <v>0.66666666666666596</v>
      </c>
      <c r="H12" s="2">
        <v>2110.1291981414902</v>
      </c>
    </row>
    <row r="13" spans="1:9" x14ac:dyDescent="0.3">
      <c r="A13" t="s">
        <v>36</v>
      </c>
      <c r="B13" t="s">
        <v>37</v>
      </c>
      <c r="C13">
        <v>56</v>
      </c>
      <c r="D13" t="s">
        <v>10</v>
      </c>
      <c r="E13" t="str">
        <f ca="1">IF(Table1[[#This Row],[is_smoker]]=0,"non-smoker","smoker")</f>
        <v>non-smoker</v>
      </c>
      <c r="F13" t="s">
        <v>2004</v>
      </c>
      <c r="G13" s="2">
        <v>1.2073170731707299</v>
      </c>
      <c r="H13" s="2">
        <v>1019.8076682367</v>
      </c>
    </row>
    <row r="14" spans="1:9" x14ac:dyDescent="0.3">
      <c r="A14" t="s">
        <v>38</v>
      </c>
      <c r="B14" t="s">
        <v>39</v>
      </c>
      <c r="C14">
        <v>64</v>
      </c>
      <c r="D14" t="s">
        <v>10</v>
      </c>
      <c r="E14" t="str">
        <f ca="1">IF(Table1[[#This Row],[is_smoker]]=0,"non-smoker","smoker")</f>
        <v>non-smoker</v>
      </c>
      <c r="F14" t="s">
        <v>2004</v>
      </c>
      <c r="G14" s="2">
        <v>1.2073170731707299</v>
      </c>
      <c r="H14" s="2">
        <v>963.29512796916799</v>
      </c>
    </row>
    <row r="15" spans="1:9" x14ac:dyDescent="0.3">
      <c r="A15" t="s">
        <v>40</v>
      </c>
      <c r="B15" t="s">
        <v>41</v>
      </c>
      <c r="C15">
        <v>19</v>
      </c>
      <c r="D15" t="s">
        <v>17</v>
      </c>
      <c r="E15" t="str">
        <f ca="1">IF(Table1[[#This Row],[is_smoker]]=0,"non-smoker","smoker")</f>
        <v>smoker</v>
      </c>
      <c r="F15" t="s">
        <v>27</v>
      </c>
      <c r="G15" s="2">
        <v>0.53252032520325199</v>
      </c>
      <c r="H15" s="2">
        <v>1810.1064111211599</v>
      </c>
    </row>
    <row r="16" spans="1:9" x14ac:dyDescent="0.3">
      <c r="A16" t="s">
        <v>42</v>
      </c>
      <c r="B16" t="s">
        <v>43</v>
      </c>
      <c r="C16">
        <v>51</v>
      </c>
      <c r="D16" t="s">
        <v>10</v>
      </c>
      <c r="E16" t="str">
        <f ca="1">IF(Table1[[#This Row],[is_smoker]]=0,"non-smoker","smoker")</f>
        <v>non-smoker</v>
      </c>
      <c r="F16" t="s">
        <v>44</v>
      </c>
      <c r="G16" s="2">
        <v>1.1341463414634101</v>
      </c>
      <c r="H16" s="2">
        <v>992.75102834540496</v>
      </c>
    </row>
    <row r="17" spans="1:8" x14ac:dyDescent="0.3">
      <c r="A17" t="s">
        <v>45</v>
      </c>
      <c r="B17" t="s">
        <v>46</v>
      </c>
      <c r="C17">
        <v>27</v>
      </c>
      <c r="D17" t="s">
        <v>10</v>
      </c>
      <c r="E17" t="str">
        <f ca="1">IF(Table1[[#This Row],[is_smoker]]=0,"non-smoker","smoker")</f>
        <v>non-smoker</v>
      </c>
      <c r="F17" t="s">
        <v>19</v>
      </c>
      <c r="G17" s="2">
        <v>1.11788617886178</v>
      </c>
      <c r="H17" s="2">
        <v>1161.0356752213099</v>
      </c>
    </row>
    <row r="18" spans="1:8" x14ac:dyDescent="0.3">
      <c r="A18" t="s">
        <v>47</v>
      </c>
      <c r="B18" t="s">
        <v>21</v>
      </c>
      <c r="C18">
        <v>54</v>
      </c>
      <c r="D18" t="s">
        <v>17</v>
      </c>
      <c r="E18" t="str">
        <f ca="1">IF(Table1[[#This Row],[is_smoker]]=0,"non-smoker","smoker")</f>
        <v>non-smoker</v>
      </c>
      <c r="F18" t="s">
        <v>48</v>
      </c>
      <c r="G18" s="2">
        <v>0.46341463414634099</v>
      </c>
      <c r="H18" s="2">
        <v>1143.00945083072</v>
      </c>
    </row>
    <row r="19" spans="1:8" x14ac:dyDescent="0.3">
      <c r="A19" s="1" t="s">
        <v>49</v>
      </c>
      <c r="B19" t="s">
        <v>50</v>
      </c>
      <c r="C19">
        <v>48</v>
      </c>
      <c r="D19" t="s">
        <v>17</v>
      </c>
      <c r="E19" t="str">
        <f ca="1">IF(Table1[[#This Row],[is_smoker]]=0,"non-smoker","smoker")</f>
        <v>non-smoker</v>
      </c>
      <c r="F19" t="s">
        <v>2004</v>
      </c>
      <c r="G19" s="2">
        <v>1.2073170731707299</v>
      </c>
      <c r="H19" s="2">
        <v>3107.9255114755701</v>
      </c>
    </row>
    <row r="20" spans="1:8" x14ac:dyDescent="0.3">
      <c r="A20" t="s">
        <v>51</v>
      </c>
      <c r="B20" t="s">
        <v>23</v>
      </c>
      <c r="C20">
        <v>31</v>
      </c>
      <c r="D20" t="s">
        <v>17</v>
      </c>
      <c r="E20" t="str">
        <f ca="1">IF(Table1[[#This Row],[is_smoker]]=0,"non-smoker","smoker")</f>
        <v>non-smoker</v>
      </c>
      <c r="F20" t="s">
        <v>44</v>
      </c>
      <c r="G20" s="2">
        <v>1.1341463414634101</v>
      </c>
      <c r="H20" s="2">
        <v>3295.5737728463</v>
      </c>
    </row>
    <row r="21" spans="1:8" x14ac:dyDescent="0.3">
      <c r="A21" t="s">
        <v>52</v>
      </c>
      <c r="B21" t="s">
        <v>53</v>
      </c>
      <c r="C21">
        <v>53</v>
      </c>
      <c r="D21" t="s">
        <v>17</v>
      </c>
      <c r="E21" t="str">
        <f ca="1">IF(Table1[[#This Row],[is_smoker]]=0,"non-smoker","smoker")</f>
        <v>non-smoker</v>
      </c>
      <c r="F21" t="s">
        <v>48</v>
      </c>
      <c r="G21" s="2">
        <v>0.46341463414634099</v>
      </c>
      <c r="H21" s="2">
        <v>1151.1838414224301</v>
      </c>
    </row>
    <row r="22" spans="1:8" x14ac:dyDescent="0.3">
      <c r="A22" t="s">
        <v>54</v>
      </c>
      <c r="B22" t="s">
        <v>43</v>
      </c>
      <c r="C22">
        <v>39</v>
      </c>
      <c r="D22" t="s">
        <v>10</v>
      </c>
      <c r="E22" t="str">
        <f ca="1">IF(Table1[[#This Row],[is_smoker]]=0,"non-smoker","smoker")</f>
        <v>non-smoker</v>
      </c>
      <c r="F22" t="s">
        <v>19</v>
      </c>
      <c r="G22" s="2">
        <v>1.11788617886178</v>
      </c>
      <c r="H22" s="2">
        <v>1065.87726862367</v>
      </c>
    </row>
    <row r="23" spans="1:8" x14ac:dyDescent="0.3">
      <c r="A23" t="s">
        <v>55</v>
      </c>
      <c r="B23" t="s">
        <v>13</v>
      </c>
      <c r="C23">
        <v>24</v>
      </c>
      <c r="D23" t="s">
        <v>10</v>
      </c>
      <c r="E23" t="str">
        <f ca="1">IF(Table1[[#This Row],[is_smoker]]=0,"non-smoker","smoker")</f>
        <v>non-smoker</v>
      </c>
      <c r="F23" t="s">
        <v>56</v>
      </c>
      <c r="G23" s="2">
        <v>0.19512195121951201</v>
      </c>
      <c r="H23" s="2">
        <v>207.03258232586799</v>
      </c>
    </row>
    <row r="24" spans="1:8" x14ac:dyDescent="0.3">
      <c r="A24" t="s">
        <v>57</v>
      </c>
      <c r="B24" t="s">
        <v>43</v>
      </c>
      <c r="C24">
        <v>29</v>
      </c>
      <c r="D24" t="s">
        <v>17</v>
      </c>
      <c r="E24" t="str">
        <f ca="1">IF(Table1[[#This Row],[is_smoker]]=0,"non-smoker","smoker")</f>
        <v>non-smoker</v>
      </c>
      <c r="F24" t="s">
        <v>24</v>
      </c>
      <c r="G24" s="2">
        <v>1.70325203252032</v>
      </c>
      <c r="H24" s="2">
        <v>5020.3105746776</v>
      </c>
    </row>
    <row r="25" spans="1:8" x14ac:dyDescent="0.3">
      <c r="A25" t="s">
        <v>58</v>
      </c>
      <c r="B25" t="s">
        <v>46</v>
      </c>
      <c r="C25">
        <v>56</v>
      </c>
      <c r="D25" t="s">
        <v>17</v>
      </c>
      <c r="E25" t="str">
        <f ca="1">IF(Table1[[#This Row],[is_smoker]]=0,"non-smoker","smoker")</f>
        <v>non-smoker</v>
      </c>
      <c r="F25" t="s">
        <v>44</v>
      </c>
      <c r="G25" s="2">
        <v>1.1341463414634101</v>
      </c>
      <c r="H25" s="2">
        <v>2757.7789091507102</v>
      </c>
    </row>
    <row r="26" spans="1:8" x14ac:dyDescent="0.3">
      <c r="A26" t="s">
        <v>59</v>
      </c>
      <c r="B26" t="s">
        <v>60</v>
      </c>
      <c r="C26">
        <v>55</v>
      </c>
      <c r="D26" t="s">
        <v>10</v>
      </c>
      <c r="E26" t="str">
        <f ca="1">IF(Table1[[#This Row],[is_smoker]]=0,"non-smoker","smoker")</f>
        <v>non-smoker</v>
      </c>
      <c r="F26" t="s">
        <v>61</v>
      </c>
      <c r="G26" s="2">
        <v>1.61788617886178</v>
      </c>
      <c r="H26" s="2">
        <v>1376.3844570700401</v>
      </c>
    </row>
    <row r="27" spans="1:8" x14ac:dyDescent="0.3">
      <c r="A27" t="s">
        <v>62</v>
      </c>
      <c r="B27" t="s">
        <v>63</v>
      </c>
      <c r="C27">
        <v>56</v>
      </c>
      <c r="D27" t="s">
        <v>17</v>
      </c>
      <c r="E27" t="str">
        <f ca="1">IF(Table1[[#This Row],[is_smoker]]=0,"non-smoker","smoker")</f>
        <v>non-smoker</v>
      </c>
      <c r="F27" t="s">
        <v>56</v>
      </c>
      <c r="G27" s="2">
        <v>0.19512195121951201</v>
      </c>
      <c r="H27" s="2">
        <v>474.456586520553</v>
      </c>
    </row>
    <row r="28" spans="1:8" x14ac:dyDescent="0.3">
      <c r="A28" t="s">
        <v>64</v>
      </c>
      <c r="B28" t="s">
        <v>65</v>
      </c>
      <c r="C28">
        <v>57</v>
      </c>
      <c r="D28" t="s">
        <v>17</v>
      </c>
      <c r="E28" t="str">
        <f ca="1">IF(Table1[[#This Row],[is_smoker]]=0,"non-smoker","smoker")</f>
        <v>non-smoker</v>
      </c>
      <c r="F28" t="s">
        <v>24</v>
      </c>
      <c r="G28" s="2">
        <v>1.70325203252032</v>
      </c>
      <c r="H28" s="2">
        <v>4112.2016395606297</v>
      </c>
    </row>
    <row r="29" spans="1:8" x14ac:dyDescent="0.3">
      <c r="A29" t="s">
        <v>66</v>
      </c>
      <c r="B29" t="s">
        <v>13</v>
      </c>
      <c r="C29">
        <v>29</v>
      </c>
      <c r="D29" t="s">
        <v>10</v>
      </c>
      <c r="E29" t="str">
        <f ca="1">IF(Table1[[#This Row],[is_smoker]]=0,"non-smoker","smoker")</f>
        <v>non-smoker</v>
      </c>
      <c r="F29" t="s">
        <v>27</v>
      </c>
      <c r="G29" s="2">
        <v>0.53252032520325199</v>
      </c>
      <c r="H29" s="2">
        <v>545.24844916377697</v>
      </c>
    </row>
    <row r="30" spans="1:8" x14ac:dyDescent="0.3">
      <c r="A30" t="s">
        <v>67</v>
      </c>
      <c r="B30" t="s">
        <v>29</v>
      </c>
      <c r="C30">
        <v>32</v>
      </c>
      <c r="D30" t="s">
        <v>17</v>
      </c>
      <c r="E30" t="str">
        <f ca="1">IF(Table1[[#This Row],[is_smoker]]=0,"non-smoker","smoker")</f>
        <v>non-smoker</v>
      </c>
      <c r="F30" t="s">
        <v>11</v>
      </c>
      <c r="G30" s="2">
        <v>1.1544715447154399</v>
      </c>
      <c r="H30" s="2">
        <v>3330.81346037085</v>
      </c>
    </row>
    <row r="31" spans="1:8" x14ac:dyDescent="0.3">
      <c r="A31" t="s">
        <v>68</v>
      </c>
      <c r="B31" t="s">
        <v>43</v>
      </c>
      <c r="C31">
        <v>47</v>
      </c>
      <c r="D31" t="s">
        <v>17</v>
      </c>
      <c r="E31" t="str">
        <f ca="1">IF(Table1[[#This Row],[is_smoker]]=0,"non-smoker","smoker")</f>
        <v>non-smoker</v>
      </c>
      <c r="F31" t="s">
        <v>14</v>
      </c>
      <c r="G31" s="2">
        <v>0.66666666666666596</v>
      </c>
      <c r="H31" s="2">
        <v>1728.4342510700999</v>
      </c>
    </row>
    <row r="32" spans="1:8" x14ac:dyDescent="0.3">
      <c r="A32" t="s">
        <v>69</v>
      </c>
      <c r="B32" t="s">
        <v>13</v>
      </c>
      <c r="C32">
        <v>42</v>
      </c>
      <c r="D32" t="s">
        <v>10</v>
      </c>
      <c r="E32" t="str">
        <f ca="1">IF(Table1[[#This Row],[is_smoker]]=0,"non-smoker","smoker")</f>
        <v>non-smoker</v>
      </c>
      <c r="F32" t="s">
        <v>61</v>
      </c>
      <c r="G32" s="2">
        <v>1.61788617886178</v>
      </c>
      <c r="H32" s="2">
        <v>1509.98623239991</v>
      </c>
    </row>
    <row r="33" spans="1:8" x14ac:dyDescent="0.3">
      <c r="A33" t="s">
        <v>70</v>
      </c>
      <c r="B33" t="s">
        <v>29</v>
      </c>
      <c r="C33">
        <v>29</v>
      </c>
      <c r="D33" t="s">
        <v>17</v>
      </c>
      <c r="E33" t="str">
        <f ca="1">IF(Table1[[#This Row],[is_smoker]]=0,"non-smoker","smoker")</f>
        <v>non-smoker</v>
      </c>
      <c r="F33" t="s">
        <v>27</v>
      </c>
      <c r="G33" s="2">
        <v>0.53252032520325199</v>
      </c>
      <c r="H33" s="2">
        <v>1569.59590759609</v>
      </c>
    </row>
    <row r="34" spans="1:8" x14ac:dyDescent="0.3">
      <c r="A34" t="s">
        <v>71</v>
      </c>
      <c r="B34" t="s">
        <v>29</v>
      </c>
      <c r="C34">
        <v>27</v>
      </c>
      <c r="D34" t="s">
        <v>10</v>
      </c>
      <c r="E34" t="str">
        <f ca="1">IF(Table1[[#This Row],[is_smoker]]=0,"non-smoker","smoker")</f>
        <v>non-smoker</v>
      </c>
      <c r="F34" t="s">
        <v>19</v>
      </c>
      <c r="G34" s="2">
        <v>1.11788617886178</v>
      </c>
      <c r="H34" s="2">
        <v>1161.0356752213099</v>
      </c>
    </row>
    <row r="35" spans="1:8" x14ac:dyDescent="0.3">
      <c r="A35" t="s">
        <v>72</v>
      </c>
      <c r="B35" t="s">
        <v>13</v>
      </c>
      <c r="C35">
        <v>44</v>
      </c>
      <c r="D35" t="s">
        <v>17</v>
      </c>
      <c r="E35" t="str">
        <f ca="1">IF(Table1[[#This Row],[is_smoker]]=0,"non-smoker","smoker")</f>
        <v>non-smoker</v>
      </c>
      <c r="F35" t="s">
        <v>27</v>
      </c>
      <c r="G35" s="2">
        <v>0.53252032520325199</v>
      </c>
      <c r="H35" s="2">
        <v>1410.47340720699</v>
      </c>
    </row>
    <row r="36" spans="1:8" x14ac:dyDescent="0.3">
      <c r="A36" t="s">
        <v>73</v>
      </c>
      <c r="B36" t="s">
        <v>50</v>
      </c>
      <c r="C36">
        <v>65</v>
      </c>
      <c r="D36" t="s">
        <v>17</v>
      </c>
      <c r="E36" t="str">
        <f ca="1">IF(Table1[[#This Row],[is_smoker]]=0,"non-smoker","smoker")</f>
        <v>non-smoker</v>
      </c>
      <c r="F36" t="s">
        <v>11</v>
      </c>
      <c r="G36" s="2">
        <v>1.1544715447154399</v>
      </c>
      <c r="H36" s="2">
        <v>2632.8117622151899</v>
      </c>
    </row>
    <row r="37" spans="1:8" x14ac:dyDescent="0.3">
      <c r="A37" t="s">
        <v>74</v>
      </c>
      <c r="B37" t="s">
        <v>13</v>
      </c>
      <c r="C37">
        <v>49</v>
      </c>
      <c r="D37" t="s">
        <v>10</v>
      </c>
      <c r="E37" t="str">
        <f ca="1">IF(Table1[[#This Row],[is_smoker]]=0,"non-smoker","smoker")</f>
        <v>non-smoker</v>
      </c>
      <c r="F37" t="s">
        <v>19</v>
      </c>
      <c r="G37" s="2">
        <v>1.11788617886178</v>
      </c>
      <c r="H37" s="2">
        <v>992.56410080709202</v>
      </c>
    </row>
    <row r="38" spans="1:8" x14ac:dyDescent="0.3">
      <c r="A38" t="s">
        <v>75</v>
      </c>
      <c r="B38" t="s">
        <v>31</v>
      </c>
      <c r="C38">
        <v>25</v>
      </c>
      <c r="D38" t="s">
        <v>10</v>
      </c>
      <c r="E38" t="str">
        <f ca="1">IF(Table1[[#This Row],[is_smoker]]=0,"non-smoker","smoker")</f>
        <v>non-smoker</v>
      </c>
      <c r="F38" t="s">
        <v>61</v>
      </c>
      <c r="G38" s="2">
        <v>1.61788617886178</v>
      </c>
      <c r="H38" s="2">
        <v>1704.45551183118</v>
      </c>
    </row>
    <row r="39" spans="1:8" x14ac:dyDescent="0.3">
      <c r="A39" t="s">
        <v>76</v>
      </c>
      <c r="B39" t="s">
        <v>46</v>
      </c>
      <c r="C39">
        <v>64</v>
      </c>
      <c r="D39" t="s">
        <v>17</v>
      </c>
      <c r="E39" t="str">
        <f ca="1">IF(Table1[[#This Row],[is_smoker]]=0,"non-smoker","smoker")</f>
        <v>non-smoker</v>
      </c>
      <c r="F39" t="s">
        <v>11</v>
      </c>
      <c r="G39" s="2">
        <v>1.1544715447154399</v>
      </c>
      <c r="H39" s="2">
        <v>2651.6406806315399</v>
      </c>
    </row>
    <row r="40" spans="1:8" x14ac:dyDescent="0.3">
      <c r="A40" t="s">
        <v>77</v>
      </c>
      <c r="B40" t="s">
        <v>78</v>
      </c>
      <c r="C40">
        <v>19</v>
      </c>
      <c r="D40" t="s">
        <v>17</v>
      </c>
      <c r="E40" t="str">
        <f ca="1">IF(Table1[[#This Row],[is_smoker]]=0,"non-smoker","smoker")</f>
        <v>non-smoker</v>
      </c>
      <c r="F40" t="s">
        <v>48</v>
      </c>
      <c r="G40" s="2">
        <v>0.46341463414634099</v>
      </c>
      <c r="H40" s="2">
        <v>1466.79712553737</v>
      </c>
    </row>
    <row r="41" spans="1:8" x14ac:dyDescent="0.3">
      <c r="A41" t="s">
        <v>79</v>
      </c>
      <c r="B41" t="s">
        <v>46</v>
      </c>
      <c r="C41">
        <v>25</v>
      </c>
      <c r="D41" t="s">
        <v>17</v>
      </c>
      <c r="E41" t="str">
        <f ca="1">IF(Table1[[#This Row],[is_smoker]]=0,"non-smoker","smoker")</f>
        <v>non-smoker</v>
      </c>
      <c r="F41" t="s">
        <v>14</v>
      </c>
      <c r="G41" s="2">
        <v>0.66666666666666596</v>
      </c>
      <c r="H41" s="2">
        <v>2021.8077866558299</v>
      </c>
    </row>
    <row r="42" spans="1:8" x14ac:dyDescent="0.3">
      <c r="A42" t="s">
        <v>80</v>
      </c>
      <c r="B42" t="s">
        <v>23</v>
      </c>
      <c r="C42">
        <v>64</v>
      </c>
      <c r="D42" t="s">
        <v>10</v>
      </c>
      <c r="E42" t="str">
        <f ca="1">IF(Table1[[#This Row],[is_smoker]]=0,"non-smoker","smoker")</f>
        <v>non-smoker</v>
      </c>
      <c r="F42" t="s">
        <v>61</v>
      </c>
      <c r="G42" s="2">
        <v>1.61788617886178</v>
      </c>
      <c r="H42" s="2">
        <v>1290.88033983747</v>
      </c>
    </row>
    <row r="43" spans="1:8" x14ac:dyDescent="0.3">
      <c r="A43" s="1" t="s">
        <v>81</v>
      </c>
      <c r="B43" t="s">
        <v>82</v>
      </c>
      <c r="C43">
        <v>54</v>
      </c>
      <c r="D43" t="s">
        <v>17</v>
      </c>
      <c r="E43" t="str">
        <f ca="1">IF(Table1[[#This Row],[is_smoker]]=0,"non-smoker","smoker")</f>
        <v>non-smoker</v>
      </c>
      <c r="F43" t="s">
        <v>48</v>
      </c>
      <c r="G43" s="2">
        <v>0.46341463414634099</v>
      </c>
      <c r="H43" s="2">
        <v>1143.00945083072</v>
      </c>
    </row>
    <row r="44" spans="1:8" x14ac:dyDescent="0.3">
      <c r="A44" t="s">
        <v>83</v>
      </c>
      <c r="B44" t="s">
        <v>50</v>
      </c>
      <c r="C44">
        <v>22</v>
      </c>
      <c r="D44" t="s">
        <v>17</v>
      </c>
      <c r="E44" t="str">
        <f ca="1">IF(Table1[[#This Row],[is_smoker]]=0,"non-smoker","smoker")</f>
        <v>non-smoker</v>
      </c>
      <c r="F44" t="s">
        <v>24</v>
      </c>
      <c r="G44" s="2">
        <v>1.70325203252032</v>
      </c>
      <c r="H44" s="2">
        <v>5277.0915762365903</v>
      </c>
    </row>
    <row r="45" spans="1:8" x14ac:dyDescent="0.3">
      <c r="A45" t="s">
        <v>84</v>
      </c>
      <c r="B45" t="s">
        <v>85</v>
      </c>
      <c r="C45">
        <v>25</v>
      </c>
      <c r="D45" t="s">
        <v>17</v>
      </c>
      <c r="E45" t="str">
        <f ca="1">IF(Table1[[#This Row],[is_smoker]]=0,"non-smoker","smoker")</f>
        <v>non-smoker</v>
      </c>
      <c r="F45" t="s">
        <v>61</v>
      </c>
      <c r="G45" s="2">
        <v>1.61788617886178</v>
      </c>
      <c r="H45" s="2">
        <v>4906.5823115184103</v>
      </c>
    </row>
    <row r="46" spans="1:8" x14ac:dyDescent="0.3">
      <c r="A46" t="s">
        <v>86</v>
      </c>
      <c r="B46" t="s">
        <v>82</v>
      </c>
      <c r="C46">
        <v>46</v>
      </c>
      <c r="D46" t="s">
        <v>10</v>
      </c>
      <c r="E46" t="str">
        <f ca="1">IF(Table1[[#This Row],[is_smoker]]=0,"non-smoker","smoker")</f>
        <v>non-smoker</v>
      </c>
      <c r="F46" t="s">
        <v>24</v>
      </c>
      <c r="G46" s="2">
        <v>1.70325203252032</v>
      </c>
      <c r="H46" s="2">
        <v>1544.98576989916</v>
      </c>
    </row>
    <row r="47" spans="1:8" x14ac:dyDescent="0.3">
      <c r="A47" t="s">
        <v>87</v>
      </c>
      <c r="B47" t="s">
        <v>88</v>
      </c>
      <c r="C47">
        <v>26</v>
      </c>
      <c r="D47" t="s">
        <v>17</v>
      </c>
      <c r="E47" t="str">
        <f ca="1">IF(Table1[[#This Row],[is_smoker]]=0,"non-smoker","smoker")</f>
        <v>non-smoker</v>
      </c>
      <c r="F47" t="s">
        <v>19</v>
      </c>
      <c r="G47" s="2">
        <v>1.11788617886178</v>
      </c>
      <c r="H47" s="2">
        <v>3366.1529618268401</v>
      </c>
    </row>
    <row r="48" spans="1:8" x14ac:dyDescent="0.3">
      <c r="A48" t="s">
        <v>89</v>
      </c>
      <c r="B48" t="s">
        <v>90</v>
      </c>
      <c r="C48">
        <v>46</v>
      </c>
      <c r="D48" t="s">
        <v>10</v>
      </c>
      <c r="E48" t="str">
        <f ca="1">IF(Table1[[#This Row],[is_smoker]]=0,"non-smoker","smoker")</f>
        <v>non-smoker</v>
      </c>
      <c r="F48" t="s">
        <v>48</v>
      </c>
      <c r="G48" s="2">
        <v>0.46341463414634099</v>
      </c>
      <c r="H48" s="2">
        <v>420.35412355251702</v>
      </c>
    </row>
    <row r="49" spans="1:8" x14ac:dyDescent="0.3">
      <c r="A49" t="s">
        <v>91</v>
      </c>
      <c r="B49" t="s">
        <v>92</v>
      </c>
      <c r="C49">
        <v>22</v>
      </c>
      <c r="D49" t="s">
        <v>10</v>
      </c>
      <c r="E49" t="str">
        <f ca="1">IF(Table1[[#This Row],[is_smoker]]=0,"non-smoker","smoker")</f>
        <v>non-smoker</v>
      </c>
      <c r="F49" t="s">
        <v>14</v>
      </c>
      <c r="G49" s="2">
        <v>0.66666666666666596</v>
      </c>
      <c r="H49" s="2">
        <v>717.51508678883795</v>
      </c>
    </row>
    <row r="50" spans="1:8" x14ac:dyDescent="0.3">
      <c r="A50" t="s">
        <v>93</v>
      </c>
      <c r="B50" t="s">
        <v>16</v>
      </c>
      <c r="C50">
        <v>56</v>
      </c>
      <c r="D50" t="s">
        <v>17</v>
      </c>
      <c r="E50" t="str">
        <f ca="1">IF(Table1[[#This Row],[is_smoker]]=0,"non-smoker","smoker")</f>
        <v>non-smoker</v>
      </c>
      <c r="F50" t="s">
        <v>11</v>
      </c>
      <c r="G50" s="2">
        <v>1.1544715447154399</v>
      </c>
      <c r="H50" s="2">
        <v>2807.2014702465999</v>
      </c>
    </row>
    <row r="51" spans="1:8" x14ac:dyDescent="0.3">
      <c r="A51" t="s">
        <v>94</v>
      </c>
      <c r="B51" t="s">
        <v>60</v>
      </c>
      <c r="C51">
        <v>43</v>
      </c>
      <c r="D51" t="s">
        <v>10</v>
      </c>
      <c r="E51" t="str">
        <f ca="1">IF(Table1[[#This Row],[is_smoker]]=0,"non-smoker","smoker")</f>
        <v>non-smoker</v>
      </c>
      <c r="F51" t="s">
        <v>2004</v>
      </c>
      <c r="G51" s="2">
        <v>1.2073170731707299</v>
      </c>
      <c r="H51" s="2">
        <v>1118.7975356909401</v>
      </c>
    </row>
    <row r="52" spans="1:8" x14ac:dyDescent="0.3">
      <c r="A52" t="s">
        <v>95</v>
      </c>
      <c r="B52" t="s">
        <v>29</v>
      </c>
      <c r="C52">
        <v>62</v>
      </c>
      <c r="D52" t="s">
        <v>10</v>
      </c>
      <c r="E52" t="str">
        <f ca="1">IF(Table1[[#This Row],[is_smoker]]=0,"non-smoker","smoker")</f>
        <v>non-smoker</v>
      </c>
      <c r="F52" t="s">
        <v>27</v>
      </c>
      <c r="G52" s="2">
        <v>0.53252032520325199</v>
      </c>
      <c r="H52" s="2">
        <v>430.98676865805402</v>
      </c>
    </row>
    <row r="53" spans="1:8" x14ac:dyDescent="0.3">
      <c r="A53" t="s">
        <v>96</v>
      </c>
      <c r="B53" t="s">
        <v>29</v>
      </c>
      <c r="C53">
        <v>21</v>
      </c>
      <c r="D53" t="s">
        <v>10</v>
      </c>
      <c r="E53" t="str">
        <f ca="1">IF(Table1[[#This Row],[is_smoker]]=0,"non-smoker","smoker")</f>
        <v>non-smoker</v>
      </c>
      <c r="F53" t="s">
        <v>56</v>
      </c>
      <c r="G53" s="2">
        <v>0.19512195121951201</v>
      </c>
      <c r="H53" s="2">
        <v>211.506291345861</v>
      </c>
    </row>
    <row r="54" spans="1:8" x14ac:dyDescent="0.3">
      <c r="A54" t="s">
        <v>97</v>
      </c>
      <c r="B54" t="s">
        <v>46</v>
      </c>
      <c r="C54">
        <v>52</v>
      </c>
      <c r="D54" t="s">
        <v>17</v>
      </c>
      <c r="E54" t="str">
        <f ca="1">IF(Table1[[#This Row],[is_smoker]]=0,"non-smoker","smoker")</f>
        <v>non-smoker</v>
      </c>
      <c r="F54" t="s">
        <v>14</v>
      </c>
      <c r="G54" s="2">
        <v>0.66666666666666596</v>
      </c>
      <c r="H54" s="2">
        <v>1667.9327854169501</v>
      </c>
    </row>
    <row r="55" spans="1:8" x14ac:dyDescent="0.3">
      <c r="A55" t="s">
        <v>98</v>
      </c>
      <c r="B55" t="s">
        <v>60</v>
      </c>
      <c r="C55">
        <v>18</v>
      </c>
      <c r="D55" t="s">
        <v>10</v>
      </c>
      <c r="E55" t="str">
        <f ca="1">IF(Table1[[#This Row],[is_smoker]]=0,"non-smoker","smoker")</f>
        <v>non-smoker</v>
      </c>
      <c r="F55" t="s">
        <v>48</v>
      </c>
      <c r="G55" s="2">
        <v>0.46341463414634099</v>
      </c>
      <c r="H55" s="2">
        <v>513.18209478791698</v>
      </c>
    </row>
    <row r="56" spans="1:8" x14ac:dyDescent="0.3">
      <c r="A56" t="s">
        <v>99</v>
      </c>
      <c r="B56" t="s">
        <v>50</v>
      </c>
      <c r="C56">
        <v>48</v>
      </c>
      <c r="D56" t="s">
        <v>17</v>
      </c>
      <c r="E56" t="str">
        <f ca="1">IF(Table1[[#This Row],[is_smoker]]=0,"non-smoker","smoker")</f>
        <v>non-smoker</v>
      </c>
      <c r="F56" t="s">
        <v>2004</v>
      </c>
      <c r="G56" s="2">
        <v>1.2073170731707299</v>
      </c>
      <c r="H56" s="2">
        <v>3107.9255114755701</v>
      </c>
    </row>
    <row r="57" spans="1:8" x14ac:dyDescent="0.3">
      <c r="A57" t="s">
        <v>100</v>
      </c>
      <c r="B57" t="s">
        <v>35</v>
      </c>
      <c r="C57">
        <v>18</v>
      </c>
      <c r="D57" t="s">
        <v>17</v>
      </c>
      <c r="E57" t="str">
        <f ca="1">IF(Table1[[#This Row],[is_smoker]]=0,"non-smoker","smoker")</f>
        <v>non-smoker</v>
      </c>
      <c r="F57" t="s">
        <v>14</v>
      </c>
      <c r="G57" s="2">
        <v>0.66666666666666596</v>
      </c>
      <c r="H57" s="2">
        <v>2125.2200797191099</v>
      </c>
    </row>
    <row r="58" spans="1:8" x14ac:dyDescent="0.3">
      <c r="A58" t="s">
        <v>101</v>
      </c>
      <c r="B58" t="s">
        <v>29</v>
      </c>
      <c r="C58">
        <v>31</v>
      </c>
      <c r="D58" t="s">
        <v>10</v>
      </c>
      <c r="E58" t="str">
        <f ca="1">IF(Table1[[#This Row],[is_smoker]]=0,"non-smoker","smoker")</f>
        <v>non-smoker</v>
      </c>
      <c r="F58" t="s">
        <v>48</v>
      </c>
      <c r="G58" s="2">
        <v>0.46341463414634099</v>
      </c>
      <c r="H58" s="2">
        <v>467.77635700036097</v>
      </c>
    </row>
    <row r="59" spans="1:8" x14ac:dyDescent="0.3">
      <c r="A59" t="s">
        <v>102</v>
      </c>
      <c r="B59" t="s">
        <v>29</v>
      </c>
      <c r="C59">
        <v>32</v>
      </c>
      <c r="D59" t="s">
        <v>10</v>
      </c>
      <c r="E59" t="str">
        <f ca="1">IF(Table1[[#This Row],[is_smoker]]=0,"non-smoker","smoker")</f>
        <v>non-smoker</v>
      </c>
      <c r="F59" t="s">
        <v>44</v>
      </c>
      <c r="G59" s="2">
        <v>1.1341463414634101</v>
      </c>
      <c r="H59" s="2">
        <v>1136.6918746680101</v>
      </c>
    </row>
    <row r="60" spans="1:8" x14ac:dyDescent="0.3">
      <c r="A60" t="s">
        <v>103</v>
      </c>
      <c r="B60" t="s">
        <v>33</v>
      </c>
      <c r="C60">
        <v>23</v>
      </c>
      <c r="D60" t="s">
        <v>17</v>
      </c>
      <c r="E60" t="str">
        <f ca="1">IF(Table1[[#This Row],[is_smoker]]=0,"non-smoker","smoker")</f>
        <v>non-smoker</v>
      </c>
      <c r="F60" t="s">
        <v>44</v>
      </c>
      <c r="G60" s="2">
        <v>1.1341463414634101</v>
      </c>
      <c r="H60" s="2">
        <v>3488.9114532052199</v>
      </c>
    </row>
    <row r="61" spans="1:8" x14ac:dyDescent="0.3">
      <c r="A61" t="s">
        <v>104</v>
      </c>
      <c r="B61" t="s">
        <v>33</v>
      </c>
      <c r="C61">
        <v>56</v>
      </c>
      <c r="D61" t="s">
        <v>17</v>
      </c>
      <c r="E61" t="str">
        <f ca="1">IF(Table1[[#This Row],[is_smoker]]=0,"non-smoker","smoker")</f>
        <v>non-smoker</v>
      </c>
      <c r="F61" t="s">
        <v>24</v>
      </c>
      <c r="G61" s="2">
        <v>1.70325203252032</v>
      </c>
      <c r="H61" s="2">
        <v>4141.6106198356601</v>
      </c>
    </row>
    <row r="62" spans="1:8" x14ac:dyDescent="0.3">
      <c r="A62" t="s">
        <v>105</v>
      </c>
      <c r="B62" t="s">
        <v>106</v>
      </c>
      <c r="C62">
        <v>56</v>
      </c>
      <c r="D62" t="s">
        <v>17</v>
      </c>
      <c r="E62" t="str">
        <f ca="1">IF(Table1[[#This Row],[is_smoker]]=0,"non-smoker","smoker")</f>
        <v>non-smoker</v>
      </c>
      <c r="F62" t="s">
        <v>14</v>
      </c>
      <c r="G62" s="2">
        <v>0.66666666666666596</v>
      </c>
      <c r="H62" s="2">
        <v>1621.0600039452199</v>
      </c>
    </row>
    <row r="63" spans="1:8" x14ac:dyDescent="0.3">
      <c r="A63" t="s">
        <v>107</v>
      </c>
      <c r="B63" t="s">
        <v>23</v>
      </c>
      <c r="C63">
        <v>19</v>
      </c>
      <c r="D63" t="s">
        <v>10</v>
      </c>
      <c r="E63" t="str">
        <f ca="1">IF(Table1[[#This Row],[is_smoker]]=0,"non-smoker","smoker")</f>
        <v>non-smoker</v>
      </c>
      <c r="F63" t="s">
        <v>44</v>
      </c>
      <c r="G63" s="2">
        <v>1.1341463414634101</v>
      </c>
      <c r="H63" s="2">
        <v>1247.0273639120401</v>
      </c>
    </row>
    <row r="64" spans="1:8" x14ac:dyDescent="0.3">
      <c r="A64" t="s">
        <v>108</v>
      </c>
      <c r="B64" t="s">
        <v>43</v>
      </c>
      <c r="C64">
        <v>21</v>
      </c>
      <c r="D64" t="s">
        <v>17</v>
      </c>
      <c r="E64" t="str">
        <f ca="1">IF(Table1[[#This Row],[is_smoker]]=0,"non-smoker","smoker")</f>
        <v>non-smoker</v>
      </c>
      <c r="F64" t="s">
        <v>48</v>
      </c>
      <c r="G64" s="2">
        <v>0.46341463414634099</v>
      </c>
      <c r="H64" s="2">
        <v>1446.04005451373</v>
      </c>
    </row>
    <row r="65" spans="1:8" x14ac:dyDescent="0.3">
      <c r="A65" t="s">
        <v>109</v>
      </c>
      <c r="B65" t="s">
        <v>110</v>
      </c>
      <c r="C65">
        <v>40</v>
      </c>
      <c r="D65" t="s">
        <v>10</v>
      </c>
      <c r="E65" t="str">
        <f ca="1">IF(Table1[[#This Row],[is_smoker]]=0,"non-smoker","smoker")</f>
        <v>non-smoker</v>
      </c>
      <c r="F65" t="s">
        <v>24</v>
      </c>
      <c r="G65" s="2">
        <v>1.70325203252032</v>
      </c>
      <c r="H65" s="2">
        <v>1612.4775091353899</v>
      </c>
    </row>
    <row r="66" spans="1:8" x14ac:dyDescent="0.3">
      <c r="A66" t="s">
        <v>111</v>
      </c>
      <c r="B66" t="s">
        <v>33</v>
      </c>
      <c r="C66">
        <v>29</v>
      </c>
      <c r="D66" t="s">
        <v>17</v>
      </c>
      <c r="E66" t="str">
        <f ca="1">IF(Table1[[#This Row],[is_smoker]]=0,"non-smoker","smoker")</f>
        <v>non-smoker</v>
      </c>
      <c r="F66" t="s">
        <v>48</v>
      </c>
      <c r="G66" s="2">
        <v>0.46341463414634099</v>
      </c>
      <c r="H66" s="2">
        <v>1365.90788905309</v>
      </c>
    </row>
    <row r="67" spans="1:8" x14ac:dyDescent="0.3">
      <c r="A67" t="s">
        <v>112</v>
      </c>
      <c r="B67" t="s">
        <v>113</v>
      </c>
      <c r="C67">
        <v>45</v>
      </c>
      <c r="D67" t="s">
        <v>17</v>
      </c>
      <c r="E67" t="str">
        <f ca="1">IF(Table1[[#This Row],[is_smoker]]=0,"non-smoker","smoker")</f>
        <v>non-smoker</v>
      </c>
      <c r="F67" t="s">
        <v>24</v>
      </c>
      <c r="G67" s="2">
        <v>1.70325203252032</v>
      </c>
      <c r="H67" s="2">
        <v>4479.3269804866804</v>
      </c>
    </row>
    <row r="68" spans="1:8" x14ac:dyDescent="0.3">
      <c r="A68" t="s">
        <v>114</v>
      </c>
      <c r="B68" t="s">
        <v>21</v>
      </c>
      <c r="C68">
        <v>56</v>
      </c>
      <c r="D68" t="s">
        <v>10</v>
      </c>
      <c r="E68" t="str">
        <f ca="1">IF(Table1[[#This Row],[is_smoker]]=0,"non-smoker","smoker")</f>
        <v>non-smoker</v>
      </c>
      <c r="F68" t="s">
        <v>14</v>
      </c>
      <c r="G68" s="2">
        <v>0.66666666666666596</v>
      </c>
      <c r="H68" s="2">
        <v>563.126119834409</v>
      </c>
    </row>
    <row r="69" spans="1:8" x14ac:dyDescent="0.3">
      <c r="A69" t="s">
        <v>115</v>
      </c>
      <c r="B69" t="s">
        <v>113</v>
      </c>
      <c r="C69">
        <v>35</v>
      </c>
      <c r="D69" t="s">
        <v>17</v>
      </c>
      <c r="E69" t="str">
        <f ca="1">IF(Table1[[#This Row],[is_smoker]]=0,"non-smoker","smoker")</f>
        <v>non-smoker</v>
      </c>
      <c r="F69" t="s">
        <v>2004</v>
      </c>
      <c r="G69" s="2">
        <v>1.2073170731707299</v>
      </c>
      <c r="H69" s="2">
        <v>3409.6031160091502</v>
      </c>
    </row>
    <row r="70" spans="1:8" x14ac:dyDescent="0.3">
      <c r="A70" t="s">
        <v>116</v>
      </c>
      <c r="B70" t="s">
        <v>50</v>
      </c>
      <c r="C70">
        <v>28</v>
      </c>
      <c r="D70" t="s">
        <v>17</v>
      </c>
      <c r="E70" t="str">
        <f ca="1">IF(Table1[[#This Row],[is_smoker]]=0,"non-smoker","smoker")</f>
        <v>non-smoker</v>
      </c>
      <c r="F70" t="s">
        <v>11</v>
      </c>
      <c r="G70" s="2">
        <v>1.1544715447154399</v>
      </c>
      <c r="H70" s="2">
        <v>3427.1235852712898</v>
      </c>
    </row>
    <row r="71" spans="1:8" x14ac:dyDescent="0.3">
      <c r="A71" t="s">
        <v>117</v>
      </c>
      <c r="B71" t="s">
        <v>60</v>
      </c>
      <c r="C71">
        <v>53</v>
      </c>
      <c r="D71" t="s">
        <v>17</v>
      </c>
      <c r="E71" t="str">
        <f ca="1">IF(Table1[[#This Row],[is_smoker]]=0,"non-smoker","smoker")</f>
        <v>non-smoker</v>
      </c>
      <c r="F71" t="s">
        <v>61</v>
      </c>
      <c r="G71" s="2">
        <v>1.61788617886178</v>
      </c>
      <c r="H71" s="2">
        <v>4019.0453411064</v>
      </c>
    </row>
    <row r="72" spans="1:8" x14ac:dyDescent="0.3">
      <c r="A72" t="s">
        <v>118</v>
      </c>
      <c r="B72" t="s">
        <v>50</v>
      </c>
      <c r="C72">
        <v>35</v>
      </c>
      <c r="D72" t="s">
        <v>17</v>
      </c>
      <c r="E72" t="str">
        <f ca="1">IF(Table1[[#This Row],[is_smoker]]=0,"non-smoker","smoker")</f>
        <v>non-smoker</v>
      </c>
      <c r="F72" t="s">
        <v>2004</v>
      </c>
      <c r="G72" s="2">
        <v>1.2073170731707299</v>
      </c>
      <c r="H72" s="2">
        <v>3409.6031160091502</v>
      </c>
    </row>
    <row r="73" spans="1:8" x14ac:dyDescent="0.3">
      <c r="A73" t="s">
        <v>119</v>
      </c>
      <c r="B73" t="s">
        <v>29</v>
      </c>
      <c r="C73">
        <v>53</v>
      </c>
      <c r="D73" t="s">
        <v>17</v>
      </c>
      <c r="E73" t="str">
        <f ca="1">IF(Table1[[#This Row],[is_smoker]]=0,"non-smoker","smoker")</f>
        <v>non-smoker</v>
      </c>
      <c r="F73" t="s">
        <v>19</v>
      </c>
      <c r="G73" s="2">
        <v>1.11788617886178</v>
      </c>
      <c r="H73" s="2">
        <v>2776.9785648348202</v>
      </c>
    </row>
    <row r="74" spans="1:8" x14ac:dyDescent="0.3">
      <c r="A74" t="s">
        <v>120</v>
      </c>
      <c r="B74" t="s">
        <v>13</v>
      </c>
      <c r="C74">
        <v>54</v>
      </c>
      <c r="D74" t="s">
        <v>10</v>
      </c>
      <c r="E74" t="str">
        <f ca="1">IF(Table1[[#This Row],[is_smoker]]=0,"non-smoker","smoker")</f>
        <v>non-smoker</v>
      </c>
      <c r="F74" t="s">
        <v>48</v>
      </c>
      <c r="G74" s="2">
        <v>0.46341463414634099</v>
      </c>
      <c r="H74" s="2">
        <v>397.06024170226499</v>
      </c>
    </row>
    <row r="75" spans="1:8" x14ac:dyDescent="0.3">
      <c r="A75" t="s">
        <v>121</v>
      </c>
      <c r="B75" t="s">
        <v>113</v>
      </c>
      <c r="C75">
        <v>45</v>
      </c>
      <c r="D75" t="s">
        <v>17</v>
      </c>
      <c r="E75" t="str">
        <f ca="1">IF(Table1[[#This Row],[is_smoker]]=0,"non-smoker","smoker")</f>
        <v>non-smoker</v>
      </c>
      <c r="F75" t="s">
        <v>19</v>
      </c>
      <c r="G75" s="2">
        <v>1.11788617886178</v>
      </c>
      <c r="H75" s="2">
        <v>2939.8924096272899</v>
      </c>
    </row>
    <row r="76" spans="1:8" x14ac:dyDescent="0.3">
      <c r="A76" t="s">
        <v>122</v>
      </c>
      <c r="B76" t="s">
        <v>113</v>
      </c>
      <c r="C76">
        <v>59</v>
      </c>
      <c r="D76" t="s">
        <v>10</v>
      </c>
      <c r="E76" t="str">
        <f ca="1">IF(Table1[[#This Row],[is_smoker]]=0,"non-smoker","smoker")</f>
        <v>non-smoker</v>
      </c>
      <c r="F76" t="s">
        <v>2004</v>
      </c>
      <c r="G76" s="2">
        <v>1.2073170731707299</v>
      </c>
      <c r="H76" s="2">
        <v>998.23704385944495</v>
      </c>
    </row>
    <row r="77" spans="1:8" x14ac:dyDescent="0.3">
      <c r="A77" t="s">
        <v>123</v>
      </c>
      <c r="B77" t="s">
        <v>85</v>
      </c>
      <c r="C77">
        <v>28</v>
      </c>
      <c r="D77" t="s">
        <v>17</v>
      </c>
      <c r="E77" t="str">
        <f ca="1">IF(Table1[[#This Row],[is_smoker]]=0,"non-smoker","smoker")</f>
        <v>non-smoker</v>
      </c>
      <c r="F77" t="s">
        <v>24</v>
      </c>
      <c r="G77" s="2">
        <v>1.70325203252032</v>
      </c>
      <c r="H77" s="2">
        <v>5056.2140219319399</v>
      </c>
    </row>
    <row r="78" spans="1:8" x14ac:dyDescent="0.3">
      <c r="A78" t="s">
        <v>124</v>
      </c>
      <c r="B78" t="s">
        <v>29</v>
      </c>
      <c r="C78">
        <v>43</v>
      </c>
      <c r="D78" t="s">
        <v>17</v>
      </c>
      <c r="E78" t="str">
        <f ca="1">IF(Table1[[#This Row],[is_smoker]]=0,"non-smoker","smoker")</f>
        <v>non-smoker</v>
      </c>
      <c r="F78" t="s">
        <v>61</v>
      </c>
      <c r="G78" s="2">
        <v>1.61788617886178</v>
      </c>
      <c r="H78" s="2">
        <v>4315.9016804757002</v>
      </c>
    </row>
    <row r="79" spans="1:8" x14ac:dyDescent="0.3">
      <c r="A79" t="s">
        <v>125</v>
      </c>
      <c r="B79" t="s">
        <v>63</v>
      </c>
      <c r="C79">
        <v>41</v>
      </c>
      <c r="D79" t="s">
        <v>17</v>
      </c>
      <c r="E79" t="str">
        <f ca="1">IF(Table1[[#This Row],[is_smoker]]=0,"non-smoker","smoker")</f>
        <v>non-smoker</v>
      </c>
      <c r="F79" t="s">
        <v>61</v>
      </c>
      <c r="G79" s="2">
        <v>1.61788617886178</v>
      </c>
      <c r="H79" s="2">
        <v>4377.85396003603</v>
      </c>
    </row>
    <row r="80" spans="1:8" x14ac:dyDescent="0.3">
      <c r="A80" t="s">
        <v>126</v>
      </c>
      <c r="B80" t="s">
        <v>43</v>
      </c>
      <c r="C80">
        <v>39</v>
      </c>
      <c r="D80" t="s">
        <v>10</v>
      </c>
      <c r="E80" t="str">
        <f ca="1">IF(Table1[[#This Row],[is_smoker]]=0,"non-smoker","smoker")</f>
        <v>non-smoker</v>
      </c>
      <c r="F80" t="s">
        <v>56</v>
      </c>
      <c r="G80" s="2">
        <v>0.19512195121951201</v>
      </c>
      <c r="H80" s="2">
        <v>186.04403234158599</v>
      </c>
    </row>
    <row r="81" spans="1:8" x14ac:dyDescent="0.3">
      <c r="A81" t="s">
        <v>127</v>
      </c>
      <c r="B81" t="s">
        <v>128</v>
      </c>
      <c r="C81">
        <v>46</v>
      </c>
      <c r="D81" t="s">
        <v>10</v>
      </c>
      <c r="E81" t="str">
        <f ca="1">IF(Table1[[#This Row],[is_smoker]]=0,"non-smoker","smoker")</f>
        <v>non-smoker</v>
      </c>
      <c r="F81" t="s">
        <v>61</v>
      </c>
      <c r="G81" s="2">
        <v>1.61788617886178</v>
      </c>
      <c r="H81" s="2">
        <v>1467.55211556054</v>
      </c>
    </row>
    <row r="82" spans="1:8" x14ac:dyDescent="0.3">
      <c r="A82" t="s">
        <v>129</v>
      </c>
      <c r="B82" t="s">
        <v>82</v>
      </c>
      <c r="C82">
        <v>59</v>
      </c>
      <c r="D82" t="s">
        <v>17</v>
      </c>
      <c r="E82" t="str">
        <f ca="1">IF(Table1[[#This Row],[is_smoker]]=0,"non-smoker","smoker")</f>
        <v>non-smoker</v>
      </c>
      <c r="F82" t="s">
        <v>11</v>
      </c>
      <c r="G82" s="2">
        <v>1.1544715447154399</v>
      </c>
      <c r="H82" s="2">
        <v>2747.8245010866399</v>
      </c>
    </row>
    <row r="83" spans="1:8" x14ac:dyDescent="0.3">
      <c r="A83" t="s">
        <v>130</v>
      </c>
      <c r="B83" t="s">
        <v>85</v>
      </c>
      <c r="C83">
        <v>34</v>
      </c>
      <c r="D83" t="s">
        <v>17</v>
      </c>
      <c r="E83" t="str">
        <f ca="1">IF(Table1[[#This Row],[is_smoker]]=0,"non-smoker","smoker")</f>
        <v>non-smoker</v>
      </c>
      <c r="F83" t="s">
        <v>61</v>
      </c>
      <c r="G83" s="2">
        <v>1.61788617886178</v>
      </c>
      <c r="H83" s="2">
        <v>4601.77431472629</v>
      </c>
    </row>
    <row r="84" spans="1:8" x14ac:dyDescent="0.3">
      <c r="A84" t="s">
        <v>131</v>
      </c>
      <c r="B84" t="s">
        <v>16</v>
      </c>
      <c r="C84">
        <v>33</v>
      </c>
      <c r="D84" t="s">
        <v>10</v>
      </c>
      <c r="E84" t="str">
        <f ca="1">IF(Table1[[#This Row],[is_smoker]]=0,"non-smoker","smoker")</f>
        <v>non-smoker</v>
      </c>
      <c r="F84" t="s">
        <v>2004</v>
      </c>
      <c r="G84" s="2">
        <v>1.2073170731707299</v>
      </c>
      <c r="H84" s="2">
        <v>1201.4346081179899</v>
      </c>
    </row>
    <row r="85" spans="1:8" x14ac:dyDescent="0.3">
      <c r="A85" t="s">
        <v>132</v>
      </c>
      <c r="B85" t="s">
        <v>110</v>
      </c>
      <c r="C85">
        <v>43</v>
      </c>
      <c r="D85" t="s">
        <v>10</v>
      </c>
      <c r="E85" t="str">
        <f ca="1">IF(Table1[[#This Row],[is_smoker]]=0,"non-smoker","smoker")</f>
        <v>non-smoker</v>
      </c>
      <c r="F85" t="s">
        <v>56</v>
      </c>
      <c r="G85" s="2">
        <v>0.19512195121951201</v>
      </c>
      <c r="H85" s="2">
        <v>180.81576334399099</v>
      </c>
    </row>
    <row r="86" spans="1:8" x14ac:dyDescent="0.3">
      <c r="A86" t="s">
        <v>133</v>
      </c>
      <c r="B86" t="s">
        <v>13</v>
      </c>
      <c r="C86">
        <v>24</v>
      </c>
      <c r="D86" t="s">
        <v>10</v>
      </c>
      <c r="E86" t="str">
        <f ca="1">IF(Table1[[#This Row],[is_smoker]]=0,"non-smoker","smoker")</f>
        <v>smoker</v>
      </c>
      <c r="F86" t="s">
        <v>2004</v>
      </c>
      <c r="G86" s="2">
        <v>1.2073170731707299</v>
      </c>
      <c r="H86" s="2">
        <v>1375.6929863339401</v>
      </c>
    </row>
    <row r="87" spans="1:8" x14ac:dyDescent="0.3">
      <c r="A87" t="s">
        <v>134</v>
      </c>
      <c r="B87" t="s">
        <v>135</v>
      </c>
      <c r="C87">
        <v>62</v>
      </c>
      <c r="D87" t="s">
        <v>17</v>
      </c>
      <c r="E87" t="str">
        <f ca="1">IF(Table1[[#This Row],[is_smoker]]=0,"non-smoker","smoker")</f>
        <v>non-smoker</v>
      </c>
      <c r="F87" t="s">
        <v>2004</v>
      </c>
      <c r="G87" s="2">
        <v>1.2073170731707299</v>
      </c>
      <c r="H87" s="2">
        <v>2812.8236818486298</v>
      </c>
    </row>
    <row r="88" spans="1:8" x14ac:dyDescent="0.3">
      <c r="A88" t="s">
        <v>136</v>
      </c>
      <c r="B88" t="s">
        <v>33</v>
      </c>
      <c r="C88">
        <v>44</v>
      </c>
      <c r="D88" t="s">
        <v>17</v>
      </c>
      <c r="E88" t="str">
        <f ca="1">IF(Table1[[#This Row],[is_smoker]]=0,"non-smoker","smoker")</f>
        <v>non-smoker</v>
      </c>
      <c r="F88" t="s">
        <v>27</v>
      </c>
      <c r="G88" s="2">
        <v>0.53252032520325199</v>
      </c>
      <c r="H88" s="2">
        <v>1410.47340720699</v>
      </c>
    </row>
    <row r="89" spans="1:8" x14ac:dyDescent="0.3">
      <c r="A89" t="s">
        <v>137</v>
      </c>
      <c r="B89" t="s">
        <v>82</v>
      </c>
      <c r="C89">
        <v>33</v>
      </c>
      <c r="D89" t="s">
        <v>10</v>
      </c>
      <c r="E89" t="str">
        <f ca="1">IF(Table1[[#This Row],[is_smoker]]=0,"non-smoker","smoker")</f>
        <v>non-smoker</v>
      </c>
      <c r="F89" t="s">
        <v>56</v>
      </c>
      <c r="G89" s="2">
        <v>0.19512195121951201</v>
      </c>
      <c r="H89" s="2">
        <v>194.17124979684701</v>
      </c>
    </row>
    <row r="90" spans="1:8" x14ac:dyDescent="0.3">
      <c r="A90" t="s">
        <v>138</v>
      </c>
      <c r="B90" t="s">
        <v>60</v>
      </c>
      <c r="C90">
        <v>35</v>
      </c>
      <c r="D90" t="s">
        <v>17</v>
      </c>
      <c r="E90" t="str">
        <f ca="1">IF(Table1[[#This Row],[is_smoker]]=0,"non-smoker","smoker")</f>
        <v>non-smoker</v>
      </c>
      <c r="F90" t="s">
        <v>2004</v>
      </c>
      <c r="G90" s="2">
        <v>1.2073170731707299</v>
      </c>
      <c r="H90" s="2">
        <v>3409.6031160091502</v>
      </c>
    </row>
    <row r="91" spans="1:8" x14ac:dyDescent="0.3">
      <c r="A91" t="s">
        <v>139</v>
      </c>
      <c r="B91" t="s">
        <v>82</v>
      </c>
      <c r="C91">
        <v>19</v>
      </c>
      <c r="D91" t="s">
        <v>10</v>
      </c>
      <c r="E91" t="str">
        <f ca="1">IF(Table1[[#This Row],[is_smoker]]=0,"non-smoker","smoker")</f>
        <v>non-smoker</v>
      </c>
      <c r="F91" t="s">
        <v>27</v>
      </c>
      <c r="G91" s="2">
        <v>0.53252032520325199</v>
      </c>
      <c r="H91" s="2">
        <v>585.52180886192502</v>
      </c>
    </row>
    <row r="92" spans="1:8" x14ac:dyDescent="0.3">
      <c r="A92" t="s">
        <v>140</v>
      </c>
      <c r="B92" t="s">
        <v>16</v>
      </c>
      <c r="C92">
        <v>18</v>
      </c>
      <c r="D92" t="s">
        <v>10</v>
      </c>
      <c r="E92" t="str">
        <f ca="1">IF(Table1[[#This Row],[is_smoker]]=0,"non-smoker","smoker")</f>
        <v>non-smoker</v>
      </c>
      <c r="F92" t="s">
        <v>27</v>
      </c>
      <c r="G92" s="2">
        <v>0.53252032520325199</v>
      </c>
      <c r="H92" s="2">
        <v>589.70924927383396</v>
      </c>
    </row>
    <row r="93" spans="1:8" x14ac:dyDescent="0.3">
      <c r="A93" t="s">
        <v>141</v>
      </c>
      <c r="B93" t="s">
        <v>29</v>
      </c>
      <c r="C93">
        <v>40</v>
      </c>
      <c r="D93" t="s">
        <v>17</v>
      </c>
      <c r="E93" t="str">
        <f ca="1">IF(Table1[[#This Row],[is_smoker]]=0,"non-smoker","smoker")</f>
        <v>non-smoker</v>
      </c>
      <c r="F93" t="s">
        <v>56</v>
      </c>
      <c r="G93" s="2">
        <v>0.19512195121951201</v>
      </c>
      <c r="H93" s="2">
        <v>531.75832639834903</v>
      </c>
    </row>
    <row r="94" spans="1:8" x14ac:dyDescent="0.3">
      <c r="A94" t="s">
        <v>142</v>
      </c>
      <c r="B94" t="s">
        <v>29</v>
      </c>
      <c r="C94">
        <v>41</v>
      </c>
      <c r="D94" t="s">
        <v>10</v>
      </c>
      <c r="E94" t="str">
        <f ca="1">IF(Table1[[#This Row],[is_smoker]]=0,"non-smoker","smoker")</f>
        <v>non-smoker</v>
      </c>
      <c r="F94" t="s">
        <v>19</v>
      </c>
      <c r="G94" s="2">
        <v>1.11788617886178</v>
      </c>
      <c r="H94" s="2">
        <v>1050.7937306332301</v>
      </c>
    </row>
    <row r="95" spans="1:8" x14ac:dyDescent="0.3">
      <c r="A95" t="s">
        <v>143</v>
      </c>
      <c r="B95" t="s">
        <v>82</v>
      </c>
      <c r="C95">
        <v>31</v>
      </c>
      <c r="D95" t="s">
        <v>17</v>
      </c>
      <c r="E95" t="str">
        <f ca="1">IF(Table1[[#This Row],[is_smoker]]=0,"non-smoker","smoker")</f>
        <v>non-smoker</v>
      </c>
      <c r="F95" t="s">
        <v>24</v>
      </c>
      <c r="G95" s="2">
        <v>1.70325203252032</v>
      </c>
      <c r="H95" s="2">
        <v>4949.2667054573503</v>
      </c>
    </row>
    <row r="96" spans="1:8" x14ac:dyDescent="0.3">
      <c r="A96" t="s">
        <v>144</v>
      </c>
      <c r="B96" t="s">
        <v>85</v>
      </c>
      <c r="C96">
        <v>48</v>
      </c>
      <c r="D96" t="s">
        <v>17</v>
      </c>
      <c r="E96" t="str">
        <f ca="1">IF(Table1[[#This Row],[is_smoker]]=0,"non-smoker","smoker")</f>
        <v>non-smoker</v>
      </c>
      <c r="F96" t="s">
        <v>11</v>
      </c>
      <c r="G96" s="2">
        <v>1.1544715447154399</v>
      </c>
      <c r="H96" s="2">
        <v>2971.8883678756301</v>
      </c>
    </row>
    <row r="97" spans="1:8" x14ac:dyDescent="0.3">
      <c r="A97" t="s">
        <v>145</v>
      </c>
      <c r="B97" t="s">
        <v>110</v>
      </c>
      <c r="C97">
        <v>20</v>
      </c>
      <c r="D97" t="s">
        <v>10</v>
      </c>
      <c r="E97" t="str">
        <f ca="1">IF(Table1[[#This Row],[is_smoker]]=0,"non-smoker","smoker")</f>
        <v>non-smoker</v>
      </c>
      <c r="F97" t="s">
        <v>24</v>
      </c>
      <c r="G97" s="2">
        <v>1.70325203252032</v>
      </c>
      <c r="H97" s="2">
        <v>1859.4775503723299</v>
      </c>
    </row>
    <row r="98" spans="1:8" x14ac:dyDescent="0.3">
      <c r="A98" t="s">
        <v>146</v>
      </c>
      <c r="B98" t="s">
        <v>46</v>
      </c>
      <c r="C98">
        <v>22</v>
      </c>
      <c r="D98" t="s">
        <v>17</v>
      </c>
      <c r="E98" t="str">
        <f ca="1">IF(Table1[[#This Row],[is_smoker]]=0,"non-smoker","smoker")</f>
        <v>non-smoker</v>
      </c>
      <c r="F98" t="s">
        <v>61</v>
      </c>
      <c r="G98" s="2">
        <v>1.61788617886178</v>
      </c>
      <c r="H98" s="2">
        <v>5012.6072728929903</v>
      </c>
    </row>
    <row r="99" spans="1:8" x14ac:dyDescent="0.3">
      <c r="A99" t="s">
        <v>147</v>
      </c>
      <c r="B99" t="s">
        <v>60</v>
      </c>
      <c r="C99">
        <v>54</v>
      </c>
      <c r="D99" t="s">
        <v>17</v>
      </c>
      <c r="E99" t="str">
        <f ca="1">IF(Table1[[#This Row],[is_smoker]]=0,"non-smoker","smoker")</f>
        <v>non-smoker</v>
      </c>
      <c r="F99" t="s">
        <v>11</v>
      </c>
      <c r="G99" s="2">
        <v>1.1544715447154399</v>
      </c>
      <c r="H99" s="2">
        <v>2847.4972283853199</v>
      </c>
    </row>
    <row r="100" spans="1:8" x14ac:dyDescent="0.3">
      <c r="A100" t="s">
        <v>148</v>
      </c>
      <c r="B100" t="s">
        <v>43</v>
      </c>
      <c r="C100">
        <v>21</v>
      </c>
      <c r="D100" t="s">
        <v>10</v>
      </c>
      <c r="E100" t="str">
        <f ca="1">IF(Table1[[#This Row],[is_smoker]]=0,"non-smoker","smoker")</f>
        <v>non-smoker</v>
      </c>
      <c r="F100" t="s">
        <v>61</v>
      </c>
      <c r="G100" s="2">
        <v>1.61788617886178</v>
      </c>
      <c r="H100" s="2">
        <v>1753.7396657427601</v>
      </c>
    </row>
    <row r="101" spans="1:8" x14ac:dyDescent="0.3">
      <c r="A101" t="s">
        <v>149</v>
      </c>
      <c r="B101" t="s">
        <v>16</v>
      </c>
      <c r="C101">
        <v>50</v>
      </c>
      <c r="D101" t="s">
        <v>17</v>
      </c>
      <c r="E101" t="str">
        <f ca="1">IF(Table1[[#This Row],[is_smoker]]=0,"non-smoker","smoker")</f>
        <v>non-smoker</v>
      </c>
      <c r="F101" t="s">
        <v>2004</v>
      </c>
      <c r="G101" s="2">
        <v>1.2073170731707299</v>
      </c>
      <c r="H101" s="2">
        <v>3063.9443572622699</v>
      </c>
    </row>
    <row r="102" spans="1:8" x14ac:dyDescent="0.3">
      <c r="A102" t="s">
        <v>150</v>
      </c>
      <c r="B102" t="s">
        <v>29</v>
      </c>
      <c r="C102">
        <v>36</v>
      </c>
      <c r="D102" t="s">
        <v>10</v>
      </c>
      <c r="E102" t="str">
        <f ca="1">IF(Table1[[#This Row],[is_smoker]]=0,"non-smoker","smoker")</f>
        <v>non-smoker</v>
      </c>
      <c r="F102" t="s">
        <v>48</v>
      </c>
      <c r="G102" s="2">
        <v>0.46341463414634099</v>
      </c>
      <c r="H102" s="2">
        <v>451.40248846651798</v>
      </c>
    </row>
    <row r="103" spans="1:8" x14ac:dyDescent="0.3">
      <c r="A103" t="s">
        <v>151</v>
      </c>
      <c r="B103" t="s">
        <v>23</v>
      </c>
      <c r="C103">
        <v>32</v>
      </c>
      <c r="D103" t="s">
        <v>10</v>
      </c>
      <c r="E103" t="str">
        <f ca="1">IF(Table1[[#This Row],[is_smoker]]=0,"non-smoker","smoker")</f>
        <v>non-smoker</v>
      </c>
      <c r="F103" t="s">
        <v>56</v>
      </c>
      <c r="G103" s="2">
        <v>0.19512195121951201</v>
      </c>
      <c r="H103" s="2">
        <v>195.55989241600199</v>
      </c>
    </row>
    <row r="104" spans="1:8" x14ac:dyDescent="0.3">
      <c r="A104" t="s">
        <v>152</v>
      </c>
      <c r="B104" t="s">
        <v>23</v>
      </c>
      <c r="C104">
        <v>48</v>
      </c>
      <c r="D104" t="s">
        <v>10</v>
      </c>
      <c r="E104" t="str">
        <f ca="1">IF(Table1[[#This Row],[is_smoker]]=0,"non-smoker","smoker")</f>
        <v>non-smoker</v>
      </c>
      <c r="F104" t="s">
        <v>11</v>
      </c>
      <c r="G104" s="2">
        <v>1.1544715447154399</v>
      </c>
      <c r="H104" s="2">
        <v>1032.37878987196</v>
      </c>
    </row>
    <row r="105" spans="1:8" x14ac:dyDescent="0.3">
      <c r="A105" t="s">
        <v>153</v>
      </c>
      <c r="B105" t="s">
        <v>60</v>
      </c>
      <c r="C105">
        <v>48</v>
      </c>
      <c r="D105" t="s">
        <v>17</v>
      </c>
      <c r="E105" t="str">
        <f ca="1">IF(Table1[[#This Row],[is_smoker]]=0,"non-smoker","smoker")</f>
        <v>non-smoker</v>
      </c>
      <c r="F105" t="s">
        <v>11</v>
      </c>
      <c r="G105" s="2">
        <v>1.1544715447154399</v>
      </c>
      <c r="H105" s="2">
        <v>2971.8883678756301</v>
      </c>
    </row>
    <row r="106" spans="1:8" x14ac:dyDescent="0.3">
      <c r="A106" t="s">
        <v>154</v>
      </c>
      <c r="B106" t="s">
        <v>82</v>
      </c>
      <c r="C106">
        <v>56</v>
      </c>
      <c r="D106" t="s">
        <v>10</v>
      </c>
      <c r="E106" t="str">
        <f ca="1">IF(Table1[[#This Row],[is_smoker]]=0,"non-smoker","smoker")</f>
        <v>non-smoker</v>
      </c>
      <c r="F106" t="s">
        <v>2004</v>
      </c>
      <c r="G106" s="2">
        <v>1.2073170731707299</v>
      </c>
      <c r="H106" s="2">
        <v>1019.8076682367</v>
      </c>
    </row>
    <row r="107" spans="1:8" x14ac:dyDescent="0.3">
      <c r="A107" t="s">
        <v>155</v>
      </c>
      <c r="B107" t="s">
        <v>106</v>
      </c>
      <c r="C107">
        <v>49</v>
      </c>
      <c r="D107" t="s">
        <v>10</v>
      </c>
      <c r="E107" t="str">
        <f ca="1">IF(Table1[[#This Row],[is_smoker]]=0,"non-smoker","smoker")</f>
        <v>non-smoker</v>
      </c>
      <c r="F107" t="s">
        <v>19</v>
      </c>
      <c r="G107" s="2">
        <v>1.11788617886178</v>
      </c>
      <c r="H107" s="2">
        <v>992.56410080709202</v>
      </c>
    </row>
    <row r="108" spans="1:8" x14ac:dyDescent="0.3">
      <c r="A108" t="s">
        <v>156</v>
      </c>
      <c r="B108" t="s">
        <v>157</v>
      </c>
      <c r="C108">
        <v>56</v>
      </c>
      <c r="D108" t="s">
        <v>10</v>
      </c>
      <c r="E108" t="str">
        <f ca="1">IF(Table1[[#This Row],[is_smoker]]=0,"non-smoker","smoker")</f>
        <v>non-smoker</v>
      </c>
      <c r="F108" t="s">
        <v>27</v>
      </c>
      <c r="G108" s="2">
        <v>0.53252032520325199</v>
      </c>
      <c r="H108" s="2">
        <v>449.81415669699697</v>
      </c>
    </row>
    <row r="109" spans="1:8" x14ac:dyDescent="0.3">
      <c r="A109" t="s">
        <v>158</v>
      </c>
      <c r="B109" t="s">
        <v>43</v>
      </c>
      <c r="C109">
        <v>18</v>
      </c>
      <c r="D109" t="s">
        <v>10</v>
      </c>
      <c r="E109" t="str">
        <f ca="1">IF(Table1[[#This Row],[is_smoker]]=0,"non-smoker","smoker")</f>
        <v>non-smoker</v>
      </c>
      <c r="F109" t="s">
        <v>2004</v>
      </c>
      <c r="G109" s="2">
        <v>1.2073170731707299</v>
      </c>
      <c r="H109" s="2">
        <v>1336.9744048422001</v>
      </c>
    </row>
    <row r="110" spans="1:8" x14ac:dyDescent="0.3">
      <c r="A110" t="s">
        <v>159</v>
      </c>
      <c r="B110" t="s">
        <v>113</v>
      </c>
      <c r="C110">
        <v>51</v>
      </c>
      <c r="D110" t="s">
        <v>17</v>
      </c>
      <c r="E110" t="str">
        <f ca="1">IF(Table1[[#This Row],[is_smoker]]=0,"non-smoker","smoker")</f>
        <v>non-smoker</v>
      </c>
      <c r="F110" t="s">
        <v>44</v>
      </c>
      <c r="G110" s="2">
        <v>1.1341463414634101</v>
      </c>
      <c r="H110" s="2">
        <v>2857.81271591425</v>
      </c>
    </row>
    <row r="111" spans="1:8" x14ac:dyDescent="0.3">
      <c r="A111" t="s">
        <v>160</v>
      </c>
      <c r="B111" t="s">
        <v>46</v>
      </c>
      <c r="C111">
        <v>19</v>
      </c>
      <c r="D111" t="s">
        <v>17</v>
      </c>
      <c r="E111" t="str">
        <f ca="1">IF(Table1[[#This Row],[is_smoker]]=0,"non-smoker","smoker")</f>
        <v>non-smoker</v>
      </c>
      <c r="F111" t="s">
        <v>27</v>
      </c>
      <c r="G111" s="2">
        <v>0.53252032520325199</v>
      </c>
      <c r="H111" s="2">
        <v>1685.5300302227699</v>
      </c>
    </row>
    <row r="112" spans="1:8" x14ac:dyDescent="0.3">
      <c r="A112" t="s">
        <v>161</v>
      </c>
      <c r="B112" t="s">
        <v>110</v>
      </c>
      <c r="C112">
        <v>37</v>
      </c>
      <c r="D112" t="s">
        <v>17</v>
      </c>
      <c r="E112" t="str">
        <f ca="1">IF(Table1[[#This Row],[is_smoker]]=0,"non-smoker","smoker")</f>
        <v>non-smoker</v>
      </c>
      <c r="F112" t="s">
        <v>56</v>
      </c>
      <c r="G112" s="2">
        <v>0.19512195121951201</v>
      </c>
      <c r="H112" s="2">
        <v>543.24894296961099</v>
      </c>
    </row>
    <row r="113" spans="1:8" x14ac:dyDescent="0.3">
      <c r="A113" t="s">
        <v>162</v>
      </c>
      <c r="B113" t="s">
        <v>23</v>
      </c>
      <c r="C113">
        <v>50</v>
      </c>
      <c r="D113" t="s">
        <v>17</v>
      </c>
      <c r="E113" t="str">
        <f ca="1">IF(Table1[[#This Row],[is_smoker]]=0,"non-smoker","smoker")</f>
        <v>non-smoker</v>
      </c>
      <c r="F113" t="s">
        <v>27</v>
      </c>
      <c r="G113" s="2">
        <v>0.53252032520325199</v>
      </c>
      <c r="H113" s="2">
        <v>1351.4367367049001</v>
      </c>
    </row>
    <row r="114" spans="1:8" x14ac:dyDescent="0.3">
      <c r="A114" t="s">
        <v>163</v>
      </c>
      <c r="B114" t="s">
        <v>113</v>
      </c>
      <c r="C114">
        <v>63</v>
      </c>
      <c r="D114" t="s">
        <v>17</v>
      </c>
      <c r="E114" t="str">
        <f ca="1">IF(Table1[[#This Row],[is_smoker]]=0,"non-smoker","smoker")</f>
        <v>non-smoker</v>
      </c>
      <c r="F114" t="s">
        <v>19</v>
      </c>
      <c r="G114" s="2">
        <v>1.11788617886178</v>
      </c>
      <c r="H114" s="2">
        <v>2585.9724316337001</v>
      </c>
    </row>
    <row r="115" spans="1:8" x14ac:dyDescent="0.3">
      <c r="A115" t="s">
        <v>164</v>
      </c>
      <c r="B115" t="s">
        <v>16</v>
      </c>
      <c r="C115">
        <v>61</v>
      </c>
      <c r="D115" t="s">
        <v>17</v>
      </c>
      <c r="E115" t="str">
        <f ca="1">IF(Table1[[#This Row],[is_smoker]]=0,"non-smoker","smoker")</f>
        <v>non-smoker</v>
      </c>
      <c r="F115" t="s">
        <v>27</v>
      </c>
      <c r="G115" s="2">
        <v>0.53252032520325199</v>
      </c>
      <c r="H115" s="2">
        <v>1249.5459173121001</v>
      </c>
    </row>
    <row r="116" spans="1:8" x14ac:dyDescent="0.3">
      <c r="A116" t="s">
        <v>165</v>
      </c>
      <c r="B116" t="s">
        <v>166</v>
      </c>
      <c r="C116">
        <v>44</v>
      </c>
      <c r="D116" t="s">
        <v>17</v>
      </c>
      <c r="E116" t="str">
        <f ca="1">IF(Table1[[#This Row],[is_smoker]]=0,"non-smoker","smoker")</f>
        <v>non-smoker</v>
      </c>
      <c r="F116" t="s">
        <v>56</v>
      </c>
      <c r="G116" s="2">
        <v>0.19512195121951201</v>
      </c>
      <c r="H116" s="2">
        <v>516.814683556761</v>
      </c>
    </row>
    <row r="117" spans="1:8" x14ac:dyDescent="0.3">
      <c r="A117" t="s">
        <v>167</v>
      </c>
      <c r="B117" t="s">
        <v>60</v>
      </c>
      <c r="C117">
        <v>62</v>
      </c>
      <c r="D117" t="s">
        <v>10</v>
      </c>
      <c r="E117" t="str">
        <f ca="1">IF(Table1[[#This Row],[is_smoker]]=0,"non-smoker","smoker")</f>
        <v>non-smoker</v>
      </c>
      <c r="F117" t="s">
        <v>19</v>
      </c>
      <c r="G117" s="2">
        <v>1.11788617886178</v>
      </c>
      <c r="H117" s="2">
        <v>904.74321664858803</v>
      </c>
    </row>
    <row r="118" spans="1:8" x14ac:dyDescent="0.3">
      <c r="A118" t="s">
        <v>168</v>
      </c>
      <c r="B118" t="s">
        <v>16</v>
      </c>
      <c r="C118">
        <v>45</v>
      </c>
      <c r="D118" t="s">
        <v>17</v>
      </c>
      <c r="E118" t="str">
        <f ca="1">IF(Table1[[#This Row],[is_smoker]]=0,"non-smoker","smoker")</f>
        <v>non-smoker</v>
      </c>
      <c r="F118" t="s">
        <v>24</v>
      </c>
      <c r="G118" s="2">
        <v>1.70325203252032</v>
      </c>
      <c r="H118" s="2">
        <v>4479.3269804866804</v>
      </c>
    </row>
    <row r="119" spans="1:8" x14ac:dyDescent="0.3">
      <c r="A119" t="s">
        <v>169</v>
      </c>
      <c r="B119" t="s">
        <v>170</v>
      </c>
      <c r="C119">
        <v>29</v>
      </c>
      <c r="D119" t="s">
        <v>10</v>
      </c>
      <c r="E119" t="str">
        <f ca="1">IF(Table1[[#This Row],[is_smoker]]=0,"non-smoker","smoker")</f>
        <v>non-smoker</v>
      </c>
      <c r="F119" t="s">
        <v>11</v>
      </c>
      <c r="G119" s="2">
        <v>1.1544715447154399</v>
      </c>
      <c r="H119" s="2">
        <v>1182.06534017185</v>
      </c>
    </row>
    <row r="120" spans="1:8" x14ac:dyDescent="0.3">
      <c r="A120" t="s">
        <v>171</v>
      </c>
      <c r="B120" t="s">
        <v>16</v>
      </c>
      <c r="C120">
        <v>38</v>
      </c>
      <c r="D120" t="s">
        <v>17</v>
      </c>
      <c r="E120" t="str">
        <f ca="1">IF(Table1[[#This Row],[is_smoker]]=0,"non-smoker","smoker")</f>
        <v>non-smoker</v>
      </c>
      <c r="F120" t="s">
        <v>11</v>
      </c>
      <c r="G120" s="2">
        <v>1.1544715447154399</v>
      </c>
      <c r="H120" s="2">
        <v>3191.3991787834998</v>
      </c>
    </row>
    <row r="121" spans="1:8" x14ac:dyDescent="0.3">
      <c r="A121" t="s">
        <v>172</v>
      </c>
      <c r="B121" t="s">
        <v>50</v>
      </c>
      <c r="C121">
        <v>37</v>
      </c>
      <c r="D121" t="s">
        <v>10</v>
      </c>
      <c r="E121" t="str">
        <f ca="1">IF(Table1[[#This Row],[is_smoker]]=0,"non-smoker","smoker")</f>
        <v>non-smoker</v>
      </c>
      <c r="F121" t="s">
        <v>61</v>
      </c>
      <c r="G121" s="2">
        <v>1.61788617886178</v>
      </c>
      <c r="H121" s="2">
        <v>1564.7584516254201</v>
      </c>
    </row>
    <row r="122" spans="1:8" x14ac:dyDescent="0.3">
      <c r="A122" t="s">
        <v>173</v>
      </c>
      <c r="B122" t="s">
        <v>135</v>
      </c>
      <c r="C122">
        <v>21</v>
      </c>
      <c r="D122" t="s">
        <v>17</v>
      </c>
      <c r="E122" t="str">
        <f ca="1">IF(Table1[[#This Row],[is_smoker]]=0,"non-smoker","smoker")</f>
        <v>non-smoker</v>
      </c>
      <c r="F122" t="s">
        <v>24</v>
      </c>
      <c r="G122" s="2">
        <v>1.70325203252032</v>
      </c>
      <c r="H122" s="2">
        <v>5314.8314284320704</v>
      </c>
    </row>
    <row r="123" spans="1:8" x14ac:dyDescent="0.3">
      <c r="A123" t="s">
        <v>174</v>
      </c>
      <c r="B123" t="s">
        <v>175</v>
      </c>
      <c r="C123">
        <v>24</v>
      </c>
      <c r="D123" t="s">
        <v>10</v>
      </c>
      <c r="E123" t="str">
        <f ca="1">IF(Table1[[#This Row],[is_smoker]]=0,"non-smoker","smoker")</f>
        <v>non-smoker</v>
      </c>
      <c r="F123" t="s">
        <v>24</v>
      </c>
      <c r="G123" s="2">
        <v>1.70325203252032</v>
      </c>
      <c r="H123" s="2">
        <v>1807.22191655289</v>
      </c>
    </row>
    <row r="124" spans="1:8" x14ac:dyDescent="0.3">
      <c r="A124" t="s">
        <v>176</v>
      </c>
      <c r="B124" t="s">
        <v>13</v>
      </c>
      <c r="C124">
        <v>57</v>
      </c>
      <c r="D124" t="s">
        <v>17</v>
      </c>
      <c r="E124" t="str">
        <f ca="1">IF(Table1[[#This Row],[is_smoker]]=0,"non-smoker","smoker")</f>
        <v>non-smoker</v>
      </c>
      <c r="F124" t="s">
        <v>27</v>
      </c>
      <c r="G124" s="2">
        <v>0.53252032520325199</v>
      </c>
      <c r="H124" s="2">
        <v>1285.6764075953199</v>
      </c>
    </row>
    <row r="125" spans="1:8" x14ac:dyDescent="0.3">
      <c r="A125" t="s">
        <v>177</v>
      </c>
      <c r="B125" t="s">
        <v>178</v>
      </c>
      <c r="C125">
        <v>45</v>
      </c>
      <c r="D125" t="s">
        <v>10</v>
      </c>
      <c r="E125" t="str">
        <f ca="1">IF(Table1[[#This Row],[is_smoker]]=0,"non-smoker","smoker")</f>
        <v>non-smoker</v>
      </c>
      <c r="F125" t="s">
        <v>11</v>
      </c>
      <c r="G125" s="2">
        <v>1.1544715447154399</v>
      </c>
      <c r="H125" s="2">
        <v>1054.6871736655401</v>
      </c>
    </row>
    <row r="126" spans="1:8" x14ac:dyDescent="0.3">
      <c r="A126" t="s">
        <v>179</v>
      </c>
      <c r="B126" t="s">
        <v>13</v>
      </c>
      <c r="C126">
        <v>46</v>
      </c>
      <c r="D126" t="s">
        <v>10</v>
      </c>
      <c r="E126" t="str">
        <f ca="1">IF(Table1[[#This Row],[is_smoker]]=0,"non-smoker","smoker")</f>
        <v>non-smoker</v>
      </c>
      <c r="F126" t="s">
        <v>56</v>
      </c>
      <c r="G126" s="2">
        <v>0.19512195121951201</v>
      </c>
      <c r="H126" s="2">
        <v>176.99120991684899</v>
      </c>
    </row>
    <row r="127" spans="1:8" x14ac:dyDescent="0.3">
      <c r="A127" t="s">
        <v>180</v>
      </c>
      <c r="B127" t="s">
        <v>50</v>
      </c>
      <c r="C127">
        <v>27</v>
      </c>
      <c r="D127" t="s">
        <v>10</v>
      </c>
      <c r="E127" t="str">
        <f ca="1">IF(Table1[[#This Row],[is_smoker]]=0,"non-smoker","smoker")</f>
        <v>non-smoker</v>
      </c>
      <c r="F127" t="s">
        <v>14</v>
      </c>
      <c r="G127" s="2">
        <v>0.66666666666666596</v>
      </c>
      <c r="H127" s="2">
        <v>692.39945722289099</v>
      </c>
    </row>
    <row r="128" spans="1:8" x14ac:dyDescent="0.3">
      <c r="A128" t="s">
        <v>181</v>
      </c>
      <c r="B128" t="s">
        <v>82</v>
      </c>
      <c r="C128">
        <v>38</v>
      </c>
      <c r="D128" t="s">
        <v>10</v>
      </c>
      <c r="E128" t="str">
        <f ca="1">IF(Table1[[#This Row],[is_smoker]]=0,"non-smoker","smoker")</f>
        <v>non-smoker</v>
      </c>
      <c r="F128" t="s">
        <v>14</v>
      </c>
      <c r="G128" s="2">
        <v>0.66666666666666596</v>
      </c>
      <c r="H128" s="2">
        <v>640.19638613013205</v>
      </c>
    </row>
    <row r="129" spans="1:8" x14ac:dyDescent="0.3">
      <c r="A129" t="s">
        <v>182</v>
      </c>
      <c r="B129" t="s">
        <v>53</v>
      </c>
      <c r="C129">
        <v>61</v>
      </c>
      <c r="D129" t="s">
        <v>10</v>
      </c>
      <c r="E129" t="str">
        <f ca="1">IF(Table1[[#This Row],[is_smoker]]=0,"non-smoker","smoker")</f>
        <v>non-smoker</v>
      </c>
      <c r="F129" t="s">
        <v>19</v>
      </c>
      <c r="G129" s="2">
        <v>1.11788617886178</v>
      </c>
      <c r="H129" s="2">
        <v>911.21361322554799</v>
      </c>
    </row>
    <row r="130" spans="1:8" x14ac:dyDescent="0.3">
      <c r="A130" t="s">
        <v>183</v>
      </c>
      <c r="B130" t="s">
        <v>21</v>
      </c>
      <c r="C130">
        <v>57</v>
      </c>
      <c r="D130" t="s">
        <v>10</v>
      </c>
      <c r="E130" t="str">
        <f ca="1">IF(Table1[[#This Row],[is_smoker]]=0,"non-smoker","smoker")</f>
        <v>non-smoker</v>
      </c>
      <c r="F130" t="s">
        <v>11</v>
      </c>
      <c r="G130" s="2">
        <v>1.1544715447154399</v>
      </c>
      <c r="H130" s="2">
        <v>968.24508317090499</v>
      </c>
    </row>
    <row r="131" spans="1:8" x14ac:dyDescent="0.3">
      <c r="A131" t="s">
        <v>184</v>
      </c>
      <c r="B131" t="s">
        <v>13</v>
      </c>
      <c r="C131">
        <v>30</v>
      </c>
      <c r="D131" t="s">
        <v>10</v>
      </c>
      <c r="E131" t="str">
        <f ca="1">IF(Table1[[#This Row],[is_smoker]]=0,"non-smoker","smoker")</f>
        <v>non-smoker</v>
      </c>
      <c r="F131" t="s">
        <v>11</v>
      </c>
      <c r="G131" s="2">
        <v>1.1544715447154399</v>
      </c>
      <c r="H131" s="2">
        <v>1173.6716645070201</v>
      </c>
    </row>
    <row r="132" spans="1:8" x14ac:dyDescent="0.3">
      <c r="A132" t="s">
        <v>185</v>
      </c>
      <c r="B132" t="s">
        <v>43</v>
      </c>
      <c r="C132">
        <v>20</v>
      </c>
      <c r="D132" t="s">
        <v>17</v>
      </c>
      <c r="E132" t="str">
        <f ca="1">IF(Table1[[#This Row],[is_smoker]]=0,"non-smoker","smoker")</f>
        <v>non-smoker</v>
      </c>
      <c r="F132" t="s">
        <v>14</v>
      </c>
      <c r="G132" s="2">
        <v>0.66666666666666596</v>
      </c>
      <c r="H132" s="2">
        <v>2095.1454747396101</v>
      </c>
    </row>
    <row r="133" spans="1:8" x14ac:dyDescent="0.3">
      <c r="A133" t="s">
        <v>186</v>
      </c>
      <c r="B133" t="s">
        <v>13</v>
      </c>
      <c r="C133">
        <v>21</v>
      </c>
      <c r="D133" t="s">
        <v>17</v>
      </c>
      <c r="E133" t="str">
        <f ca="1">IF(Table1[[#This Row],[is_smoker]]=0,"non-smoker","smoker")</f>
        <v>non-smoker</v>
      </c>
      <c r="F133" t="s">
        <v>11</v>
      </c>
      <c r="G133" s="2">
        <v>1.1544715447154399</v>
      </c>
      <c r="H133" s="2">
        <v>3602.4155744026398</v>
      </c>
    </row>
    <row r="134" spans="1:8" x14ac:dyDescent="0.3">
      <c r="A134" s="1" t="s">
        <v>187</v>
      </c>
      <c r="B134" t="s">
        <v>46</v>
      </c>
      <c r="C134">
        <v>25</v>
      </c>
      <c r="D134" t="s">
        <v>10</v>
      </c>
      <c r="E134" t="str">
        <f ca="1">IF(Table1[[#This Row],[is_smoker]]=0,"non-smoker","smoker")</f>
        <v>non-smoker</v>
      </c>
      <c r="F134" t="s">
        <v>27</v>
      </c>
      <c r="G134" s="2">
        <v>0.53252032520325199</v>
      </c>
      <c r="H134" s="2">
        <v>561.01425138162006</v>
      </c>
    </row>
    <row r="135" spans="1:8" x14ac:dyDescent="0.3">
      <c r="A135" t="s">
        <v>188</v>
      </c>
      <c r="B135" t="s">
        <v>16</v>
      </c>
      <c r="C135">
        <v>23</v>
      </c>
      <c r="D135" t="s">
        <v>17</v>
      </c>
      <c r="E135" t="str">
        <f ca="1">IF(Table1[[#This Row],[is_smoker]]=0,"non-smoker","smoker")</f>
        <v>non-smoker</v>
      </c>
      <c r="F135" t="s">
        <v>44</v>
      </c>
      <c r="G135" s="2">
        <v>1.1341463414634101</v>
      </c>
      <c r="H135" s="2">
        <v>3488.9114532052199</v>
      </c>
    </row>
    <row r="136" spans="1:8" x14ac:dyDescent="0.3">
      <c r="A136" t="s">
        <v>189</v>
      </c>
      <c r="B136" t="s">
        <v>43</v>
      </c>
      <c r="C136">
        <v>30</v>
      </c>
      <c r="D136" t="s">
        <v>17</v>
      </c>
      <c r="E136" t="str">
        <f ca="1">IF(Table1[[#This Row],[is_smoker]]=0,"non-smoker","smoker")</f>
        <v>non-smoker</v>
      </c>
      <c r="F136" t="s">
        <v>48</v>
      </c>
      <c r="G136" s="2">
        <v>0.46341463414634099</v>
      </c>
      <c r="H136" s="2">
        <v>1356.2087739372801</v>
      </c>
    </row>
    <row r="137" spans="1:8" x14ac:dyDescent="0.3">
      <c r="A137" t="s">
        <v>190</v>
      </c>
      <c r="B137" t="s">
        <v>43</v>
      </c>
      <c r="C137">
        <v>27</v>
      </c>
      <c r="D137" t="s">
        <v>10</v>
      </c>
      <c r="E137" t="str">
        <f ca="1">IF(Table1[[#This Row],[is_smoker]]=0,"non-smoker","smoker")</f>
        <v>non-smoker</v>
      </c>
      <c r="F137" t="s">
        <v>24</v>
      </c>
      <c r="G137" s="2">
        <v>1.70325203252032</v>
      </c>
      <c r="H137" s="2">
        <v>1768.9961742462799</v>
      </c>
    </row>
    <row r="138" spans="1:8" x14ac:dyDescent="0.3">
      <c r="A138" t="s">
        <v>191</v>
      </c>
      <c r="B138" t="s">
        <v>192</v>
      </c>
      <c r="C138">
        <v>58</v>
      </c>
      <c r="D138" t="s">
        <v>10</v>
      </c>
      <c r="E138" t="str">
        <f ca="1">IF(Table1[[#This Row],[is_smoker]]=0,"non-smoker","smoker")</f>
        <v>non-smoker</v>
      </c>
      <c r="F138" t="s">
        <v>61</v>
      </c>
      <c r="G138" s="2">
        <v>1.61788617886178</v>
      </c>
      <c r="H138" s="2">
        <v>1347.27164193158</v>
      </c>
    </row>
    <row r="139" spans="1:8" x14ac:dyDescent="0.3">
      <c r="A139" t="s">
        <v>193</v>
      </c>
      <c r="B139" t="s">
        <v>13</v>
      </c>
      <c r="C139">
        <v>36</v>
      </c>
      <c r="D139" t="s">
        <v>10</v>
      </c>
      <c r="E139" t="str">
        <f ca="1">IF(Table1[[#This Row],[is_smoker]]=0,"non-smoker","smoker")</f>
        <v>non-smoker</v>
      </c>
      <c r="F139" t="s">
        <v>19</v>
      </c>
      <c r="G139" s="2">
        <v>1.11788617886178</v>
      </c>
      <c r="H139" s="2">
        <v>1088.9095116516801</v>
      </c>
    </row>
    <row r="140" spans="1:8" x14ac:dyDescent="0.3">
      <c r="A140" t="s">
        <v>194</v>
      </c>
      <c r="B140" t="s">
        <v>50</v>
      </c>
      <c r="C140">
        <v>34</v>
      </c>
      <c r="D140" t="s">
        <v>17</v>
      </c>
      <c r="E140" t="str">
        <f ca="1">IF(Table1[[#This Row],[is_smoker]]=0,"non-smoker","smoker")</f>
        <v>non-smoker</v>
      </c>
      <c r="F140" t="s">
        <v>44</v>
      </c>
      <c r="G140" s="2">
        <v>1.1341463414634101</v>
      </c>
      <c r="H140" s="2">
        <v>3225.8669191171698</v>
      </c>
    </row>
    <row r="141" spans="1:8" x14ac:dyDescent="0.3">
      <c r="A141" t="s">
        <v>195</v>
      </c>
      <c r="B141" t="s">
        <v>85</v>
      </c>
      <c r="C141">
        <v>28</v>
      </c>
      <c r="D141" t="s">
        <v>17</v>
      </c>
      <c r="E141" t="str">
        <f ca="1">IF(Table1[[#This Row],[is_smoker]]=0,"non-smoker","smoker")</f>
        <v>non-smoker</v>
      </c>
      <c r="F141" t="s">
        <v>14</v>
      </c>
      <c r="G141" s="2">
        <v>0.66666666666666596</v>
      </c>
      <c r="H141" s="2">
        <v>1979.04319712849</v>
      </c>
    </row>
    <row r="142" spans="1:8" x14ac:dyDescent="0.3">
      <c r="A142" t="s">
        <v>196</v>
      </c>
      <c r="B142" t="s">
        <v>29</v>
      </c>
      <c r="C142">
        <v>46</v>
      </c>
      <c r="D142" t="s">
        <v>17</v>
      </c>
      <c r="E142" t="str">
        <f ca="1">IF(Table1[[#This Row],[is_smoker]]=0,"non-smoker","smoker")</f>
        <v>non-smoker</v>
      </c>
      <c r="F142" t="s">
        <v>24</v>
      </c>
      <c r="G142" s="2">
        <v>1.70325203252032</v>
      </c>
      <c r="H142" s="2">
        <v>4447.5199249939196</v>
      </c>
    </row>
    <row r="143" spans="1:8" x14ac:dyDescent="0.3">
      <c r="A143" t="s">
        <v>197</v>
      </c>
      <c r="B143" t="s">
        <v>175</v>
      </c>
      <c r="C143">
        <v>51</v>
      </c>
      <c r="D143" t="s">
        <v>10</v>
      </c>
      <c r="E143" t="str">
        <f ca="1">IF(Table1[[#This Row],[is_smoker]]=0,"non-smoker","smoker")</f>
        <v>non-smoker</v>
      </c>
      <c r="F143" t="s">
        <v>11</v>
      </c>
      <c r="G143" s="2">
        <v>1.1544715447154399</v>
      </c>
      <c r="H143" s="2">
        <v>1010.54226541252</v>
      </c>
    </row>
    <row r="144" spans="1:8" x14ac:dyDescent="0.3">
      <c r="A144" t="s">
        <v>198</v>
      </c>
      <c r="B144" t="s">
        <v>113</v>
      </c>
      <c r="C144">
        <v>39</v>
      </c>
      <c r="D144" t="s">
        <v>10</v>
      </c>
      <c r="E144" t="str">
        <f ca="1">IF(Table1[[#This Row],[is_smoker]]=0,"non-smoker","smoker")</f>
        <v>non-smoker</v>
      </c>
      <c r="F144" t="s">
        <v>61</v>
      </c>
      <c r="G144" s="2">
        <v>1.61788617886178</v>
      </c>
      <c r="H144" s="2">
        <v>1542.61510149898</v>
      </c>
    </row>
    <row r="145" spans="1:8" x14ac:dyDescent="0.3">
      <c r="A145" t="s">
        <v>199</v>
      </c>
      <c r="B145" t="s">
        <v>50</v>
      </c>
      <c r="C145">
        <v>22</v>
      </c>
      <c r="D145" t="s">
        <v>10</v>
      </c>
      <c r="E145" t="str">
        <f ca="1">IF(Table1[[#This Row],[is_smoker]]=0,"non-smoker","smoker")</f>
        <v>non-smoker</v>
      </c>
      <c r="F145" t="s">
        <v>11</v>
      </c>
      <c r="G145" s="2">
        <v>1.1544715447154399</v>
      </c>
      <c r="H145" s="2">
        <v>1242.5261259026199</v>
      </c>
    </row>
    <row r="146" spans="1:8" x14ac:dyDescent="0.3">
      <c r="A146" t="s">
        <v>200</v>
      </c>
      <c r="B146" t="s">
        <v>201</v>
      </c>
      <c r="C146">
        <v>20</v>
      </c>
      <c r="D146" t="s">
        <v>10</v>
      </c>
      <c r="E146" t="str">
        <f ca="1">IF(Table1[[#This Row],[is_smoker]]=0,"non-smoker","smoker")</f>
        <v>non-smoker</v>
      </c>
      <c r="F146" t="s">
        <v>56</v>
      </c>
      <c r="G146" s="2">
        <v>0.19512195121951201</v>
      </c>
      <c r="H146" s="2">
        <v>213.01890791854899</v>
      </c>
    </row>
    <row r="147" spans="1:8" x14ac:dyDescent="0.3">
      <c r="A147" t="s">
        <v>202</v>
      </c>
      <c r="B147" t="s">
        <v>106</v>
      </c>
      <c r="C147">
        <v>42</v>
      </c>
      <c r="D147" t="s">
        <v>17</v>
      </c>
      <c r="E147" t="str">
        <f ca="1">IF(Table1[[#This Row],[is_smoker]]=0,"non-smoker","smoker")</f>
        <v>non-smoker</v>
      </c>
      <c r="F147" t="s">
        <v>56</v>
      </c>
      <c r="G147" s="2">
        <v>0.19512195121951201</v>
      </c>
      <c r="H147" s="2">
        <v>524.23326028232498</v>
      </c>
    </row>
    <row r="148" spans="1:8" x14ac:dyDescent="0.3">
      <c r="A148" t="s">
        <v>203</v>
      </c>
      <c r="B148" t="s">
        <v>13</v>
      </c>
      <c r="C148">
        <v>56</v>
      </c>
      <c r="D148" t="s">
        <v>10</v>
      </c>
      <c r="E148" t="str">
        <f ca="1">IF(Table1[[#This Row],[is_smoker]]=0,"non-smoker","smoker")</f>
        <v>non-smoker</v>
      </c>
      <c r="F148" t="s">
        <v>61</v>
      </c>
      <c r="G148" s="2">
        <v>1.61788617886178</v>
      </c>
      <c r="H148" s="2">
        <v>1366.6109493542299</v>
      </c>
    </row>
    <row r="149" spans="1:8" x14ac:dyDescent="0.3">
      <c r="A149" t="s">
        <v>204</v>
      </c>
      <c r="B149" t="s">
        <v>29</v>
      </c>
      <c r="C149">
        <v>53</v>
      </c>
      <c r="D149" t="s">
        <v>17</v>
      </c>
      <c r="E149" t="str">
        <f ca="1">IF(Table1[[#This Row],[is_smoker]]=0,"non-smoker","smoker")</f>
        <v>non-smoker</v>
      </c>
      <c r="F149" t="s">
        <v>61</v>
      </c>
      <c r="G149" s="2">
        <v>1.61788617886178</v>
      </c>
      <c r="H149" s="2">
        <v>4019.0453411064</v>
      </c>
    </row>
    <row r="150" spans="1:8" x14ac:dyDescent="0.3">
      <c r="A150" t="s">
        <v>205</v>
      </c>
      <c r="B150" t="s">
        <v>29</v>
      </c>
      <c r="C150">
        <v>40</v>
      </c>
      <c r="D150" t="s">
        <v>10</v>
      </c>
      <c r="E150" t="str">
        <f ca="1">IF(Table1[[#This Row],[is_smoker]]=0,"non-smoker","smoker")</f>
        <v>non-smoker</v>
      </c>
      <c r="F150" t="s">
        <v>14</v>
      </c>
      <c r="G150" s="2">
        <v>0.66666666666666596</v>
      </c>
      <c r="H150" s="2">
        <v>631.13678161862697</v>
      </c>
    </row>
    <row r="151" spans="1:8" x14ac:dyDescent="0.3">
      <c r="A151" t="s">
        <v>206</v>
      </c>
      <c r="B151" t="s">
        <v>113</v>
      </c>
      <c r="C151">
        <v>56</v>
      </c>
      <c r="D151" t="s">
        <v>10</v>
      </c>
      <c r="E151" t="str">
        <f ca="1">IF(Table1[[#This Row],[is_smoker]]=0,"non-smoker","smoker")</f>
        <v>non-smoker</v>
      </c>
      <c r="F151" t="s">
        <v>61</v>
      </c>
      <c r="G151" s="2">
        <v>1.61788617886178</v>
      </c>
      <c r="H151" s="2">
        <v>1366.6109493542299</v>
      </c>
    </row>
    <row r="152" spans="1:8" x14ac:dyDescent="0.3">
      <c r="A152" t="s">
        <v>207</v>
      </c>
      <c r="B152" t="s">
        <v>85</v>
      </c>
      <c r="C152">
        <v>44</v>
      </c>
      <c r="D152" t="s">
        <v>10</v>
      </c>
      <c r="E152" t="str">
        <f ca="1">IF(Table1[[#This Row],[is_smoker]]=0,"non-smoker","smoker")</f>
        <v>non-smoker</v>
      </c>
      <c r="F152" t="s">
        <v>27</v>
      </c>
      <c r="G152" s="2">
        <v>0.53252032520325199</v>
      </c>
      <c r="H152" s="2">
        <v>489.97224963730099</v>
      </c>
    </row>
    <row r="153" spans="1:8" x14ac:dyDescent="0.3">
      <c r="A153" t="s">
        <v>208</v>
      </c>
      <c r="B153" t="s">
        <v>37</v>
      </c>
      <c r="C153">
        <v>26</v>
      </c>
      <c r="D153" t="s">
        <v>17</v>
      </c>
      <c r="E153" t="str">
        <f ca="1">IF(Table1[[#This Row],[is_smoker]]=0,"non-smoker","smoker")</f>
        <v>non-smoker</v>
      </c>
      <c r="F153" t="s">
        <v>11</v>
      </c>
      <c r="G153" s="2">
        <v>1.1544715447154399</v>
      </c>
      <c r="H153" s="2">
        <v>3476.3179678502602</v>
      </c>
    </row>
    <row r="154" spans="1:8" x14ac:dyDescent="0.3">
      <c r="A154" t="s">
        <v>209</v>
      </c>
      <c r="B154" t="s">
        <v>16</v>
      </c>
      <c r="C154">
        <v>58</v>
      </c>
      <c r="D154" t="s">
        <v>10</v>
      </c>
      <c r="E154" t="str">
        <f ca="1">IF(Table1[[#This Row],[is_smoker]]=0,"non-smoker","smoker")</f>
        <v>non-smoker</v>
      </c>
      <c r="F154" t="s">
        <v>44</v>
      </c>
      <c r="G154" s="2">
        <v>1.1341463414634101</v>
      </c>
      <c r="H154" s="2">
        <v>944.44419120329599</v>
      </c>
    </row>
    <row r="155" spans="1:8" x14ac:dyDescent="0.3">
      <c r="A155" t="s">
        <v>210</v>
      </c>
      <c r="B155" t="s">
        <v>29</v>
      </c>
      <c r="C155">
        <v>33</v>
      </c>
      <c r="D155" t="s">
        <v>17</v>
      </c>
      <c r="E155" t="str">
        <f ca="1">IF(Table1[[#This Row],[is_smoker]]=0,"non-smoker","smoker")</f>
        <v>non-smoker</v>
      </c>
      <c r="F155" t="s">
        <v>2004</v>
      </c>
      <c r="G155" s="2">
        <v>1.2073170731707299</v>
      </c>
      <c r="H155" s="2">
        <v>3458.54600235625</v>
      </c>
    </row>
    <row r="156" spans="1:8" x14ac:dyDescent="0.3">
      <c r="A156" t="s">
        <v>211</v>
      </c>
      <c r="B156" t="s">
        <v>82</v>
      </c>
      <c r="C156">
        <v>23</v>
      </c>
      <c r="D156" t="s">
        <v>17</v>
      </c>
      <c r="E156" t="str">
        <f ca="1">IF(Table1[[#This Row],[is_smoker]]=0,"non-smoker","smoker")</f>
        <v>non-smoker</v>
      </c>
      <c r="F156" t="s">
        <v>61</v>
      </c>
      <c r="G156" s="2">
        <v>1.61788617886178</v>
      </c>
      <c r="H156" s="2">
        <v>4977.0134708805699</v>
      </c>
    </row>
    <row r="157" spans="1:8" x14ac:dyDescent="0.3">
      <c r="A157" t="s">
        <v>212</v>
      </c>
      <c r="B157" t="s">
        <v>128</v>
      </c>
      <c r="C157">
        <v>47</v>
      </c>
      <c r="D157" t="s">
        <v>10</v>
      </c>
      <c r="E157" t="str">
        <f ca="1">IF(Table1[[#This Row],[is_smoker]]=0,"non-smoker","smoker")</f>
        <v>non-smoker</v>
      </c>
      <c r="F157" t="s">
        <v>19</v>
      </c>
      <c r="G157" s="2">
        <v>1.11788617886178</v>
      </c>
      <c r="H157" s="2">
        <v>1006.81178604351</v>
      </c>
    </row>
    <row r="158" spans="1:8" x14ac:dyDescent="0.3">
      <c r="A158" t="s">
        <v>213</v>
      </c>
      <c r="B158" t="s">
        <v>16</v>
      </c>
      <c r="C158">
        <v>63</v>
      </c>
      <c r="D158" t="s">
        <v>10</v>
      </c>
      <c r="E158" t="str">
        <f ca="1">IF(Table1[[#This Row],[is_smoker]]=0,"non-smoker","smoker")</f>
        <v>non-smoker</v>
      </c>
      <c r="F158" t="s">
        <v>56</v>
      </c>
      <c r="G158" s="2">
        <v>0.19512195121951201</v>
      </c>
      <c r="H158" s="2">
        <v>156.797457237896</v>
      </c>
    </row>
    <row r="159" spans="1:8" x14ac:dyDescent="0.3">
      <c r="A159" t="s">
        <v>214</v>
      </c>
      <c r="B159" t="s">
        <v>13</v>
      </c>
      <c r="C159">
        <v>55</v>
      </c>
      <c r="D159" t="s">
        <v>10</v>
      </c>
      <c r="E159" t="str">
        <f ca="1">IF(Table1[[#This Row],[is_smoker]]=0,"non-smoker","smoker")</f>
        <v>non-smoker</v>
      </c>
      <c r="F159" t="s">
        <v>27</v>
      </c>
      <c r="G159" s="2">
        <v>0.53252032520325199</v>
      </c>
      <c r="H159" s="2">
        <v>453.03106501551599</v>
      </c>
    </row>
    <row r="160" spans="1:8" x14ac:dyDescent="0.3">
      <c r="A160" t="s">
        <v>215</v>
      </c>
      <c r="B160" t="s">
        <v>46</v>
      </c>
      <c r="C160">
        <v>49</v>
      </c>
      <c r="D160" t="s">
        <v>17</v>
      </c>
      <c r="E160" t="str">
        <f ca="1">IF(Table1[[#This Row],[is_smoker]]=0,"non-smoker","smoker")</f>
        <v>non-smoker</v>
      </c>
      <c r="F160" t="s">
        <v>24</v>
      </c>
      <c r="G160" s="2">
        <v>1.70325203252032</v>
      </c>
      <c r="H160" s="2">
        <v>4353.4474986919104</v>
      </c>
    </row>
    <row r="161" spans="1:8" x14ac:dyDescent="0.3">
      <c r="A161" t="s">
        <v>216</v>
      </c>
      <c r="B161" t="s">
        <v>23</v>
      </c>
      <c r="C161">
        <v>21</v>
      </c>
      <c r="D161" t="s">
        <v>17</v>
      </c>
      <c r="E161" t="str">
        <f ca="1">IF(Table1[[#This Row],[is_smoker]]=0,"non-smoker","smoker")</f>
        <v>smoker</v>
      </c>
      <c r="F161" t="s">
        <v>2004</v>
      </c>
      <c r="G161" s="2">
        <v>1.2073170731707299</v>
      </c>
      <c r="H161" s="2">
        <v>4045.7545654312198</v>
      </c>
    </row>
    <row r="162" spans="1:8" x14ac:dyDescent="0.3">
      <c r="A162" t="s">
        <v>217</v>
      </c>
      <c r="B162" t="s">
        <v>16</v>
      </c>
      <c r="C162">
        <v>33</v>
      </c>
      <c r="D162" t="s">
        <v>10</v>
      </c>
      <c r="E162" t="str">
        <f ca="1">IF(Table1[[#This Row],[is_smoker]]=0,"non-smoker","smoker")</f>
        <v>non-smoker</v>
      </c>
      <c r="F162" t="s">
        <v>44</v>
      </c>
      <c r="G162" s="2">
        <v>1.1341463414634101</v>
      </c>
      <c r="H162" s="2">
        <v>1128.6203894441701</v>
      </c>
    </row>
    <row r="163" spans="1:8" x14ac:dyDescent="0.3">
      <c r="A163" t="s">
        <v>218</v>
      </c>
      <c r="B163" t="s">
        <v>82</v>
      </c>
      <c r="C163">
        <v>36</v>
      </c>
      <c r="D163" t="s">
        <v>10</v>
      </c>
      <c r="E163" t="str">
        <f ca="1">IF(Table1[[#This Row],[is_smoker]]=0,"non-smoker","smoker")</f>
        <v>non-smoker</v>
      </c>
      <c r="F163" t="s">
        <v>2004</v>
      </c>
      <c r="G163" s="2">
        <v>1.2073170731707299</v>
      </c>
      <c r="H163" s="2">
        <v>1176.02227258382</v>
      </c>
    </row>
    <row r="164" spans="1:8" x14ac:dyDescent="0.3">
      <c r="A164" t="s">
        <v>219</v>
      </c>
      <c r="B164" t="s">
        <v>16</v>
      </c>
      <c r="C164">
        <v>54</v>
      </c>
      <c r="D164" t="s">
        <v>10</v>
      </c>
      <c r="E164" t="str">
        <f ca="1">IF(Table1[[#This Row],[is_smoker]]=0,"non-smoker","smoker")</f>
        <v>non-smoker</v>
      </c>
      <c r="F164" t="s">
        <v>61</v>
      </c>
      <c r="G164" s="2">
        <v>1.61788617886178</v>
      </c>
      <c r="H164" s="2">
        <v>1386.2278613815899</v>
      </c>
    </row>
    <row r="165" spans="1:8" x14ac:dyDescent="0.3">
      <c r="A165" t="s">
        <v>220</v>
      </c>
      <c r="B165" t="s">
        <v>113</v>
      </c>
      <c r="C165">
        <v>44</v>
      </c>
      <c r="D165" t="s">
        <v>10</v>
      </c>
      <c r="E165" t="str">
        <f ca="1">IF(Table1[[#This Row],[is_smoker]]=0,"non-smoker","smoker")</f>
        <v>non-smoker</v>
      </c>
      <c r="F165" t="s">
        <v>14</v>
      </c>
      <c r="G165" s="2">
        <v>0.66666666666666596</v>
      </c>
      <c r="H165" s="2">
        <v>613.40037359173596</v>
      </c>
    </row>
    <row r="166" spans="1:8" x14ac:dyDescent="0.3">
      <c r="A166" t="s">
        <v>221</v>
      </c>
      <c r="B166" t="s">
        <v>13</v>
      </c>
      <c r="C166">
        <v>62</v>
      </c>
      <c r="D166" t="s">
        <v>10</v>
      </c>
      <c r="E166" t="str">
        <f ca="1">IF(Table1[[#This Row],[is_smoker]]=0,"non-smoker","smoker")</f>
        <v>non-smoker</v>
      </c>
      <c r="F166" t="s">
        <v>56</v>
      </c>
      <c r="G166" s="2">
        <v>0.19512195121951201</v>
      </c>
      <c r="H166" s="2">
        <v>157.91881599684399</v>
      </c>
    </row>
    <row r="167" spans="1:8" x14ac:dyDescent="0.3">
      <c r="A167" t="s">
        <v>222</v>
      </c>
      <c r="B167" t="s">
        <v>29</v>
      </c>
      <c r="C167">
        <v>42</v>
      </c>
      <c r="D167" t="s">
        <v>17</v>
      </c>
      <c r="E167" t="str">
        <f ca="1">IF(Table1[[#This Row],[is_smoker]]=0,"non-smoker","smoker")</f>
        <v>non-smoker</v>
      </c>
      <c r="F167" t="s">
        <v>56</v>
      </c>
      <c r="G167" s="2">
        <v>0.19512195121951201</v>
      </c>
      <c r="H167" s="2">
        <v>524.23326028232498</v>
      </c>
    </row>
    <row r="168" spans="1:8" x14ac:dyDescent="0.3">
      <c r="A168" t="s">
        <v>223</v>
      </c>
      <c r="B168" t="s">
        <v>85</v>
      </c>
      <c r="C168">
        <v>54</v>
      </c>
      <c r="D168" t="s">
        <v>17</v>
      </c>
      <c r="E168" t="str">
        <f ca="1">IF(Table1[[#This Row],[is_smoker]]=0,"non-smoker","smoker")</f>
        <v>non-smoker</v>
      </c>
      <c r="F168" t="s">
        <v>24</v>
      </c>
      <c r="G168" s="2">
        <v>1.70325203252032</v>
      </c>
      <c r="H168" s="2">
        <v>4201.0610517374898</v>
      </c>
    </row>
    <row r="169" spans="1:8" x14ac:dyDescent="0.3">
      <c r="A169" t="s">
        <v>224</v>
      </c>
      <c r="B169" t="s">
        <v>13</v>
      </c>
      <c r="C169">
        <v>36</v>
      </c>
      <c r="D169" t="s">
        <v>10</v>
      </c>
      <c r="E169" t="str">
        <f ca="1">IF(Table1[[#This Row],[is_smoker]]=0,"non-smoker","smoker")</f>
        <v>non-smoker</v>
      </c>
      <c r="F169" t="s">
        <v>14</v>
      </c>
      <c r="G169" s="2">
        <v>0.66666666666666596</v>
      </c>
      <c r="H169" s="2">
        <v>649.38603603955198</v>
      </c>
    </row>
    <row r="170" spans="1:8" x14ac:dyDescent="0.3">
      <c r="A170" t="s">
        <v>225</v>
      </c>
      <c r="B170" t="s">
        <v>92</v>
      </c>
      <c r="C170">
        <v>32</v>
      </c>
      <c r="D170" t="s">
        <v>17</v>
      </c>
      <c r="E170" t="str">
        <f ca="1">IF(Table1[[#This Row],[is_smoker]]=0,"non-smoker","smoker")</f>
        <v>non-smoker</v>
      </c>
      <c r="F170" t="s">
        <v>11</v>
      </c>
      <c r="G170" s="2">
        <v>1.1544715447154399</v>
      </c>
      <c r="H170" s="2">
        <v>3330.81346037085</v>
      </c>
    </row>
    <row r="171" spans="1:8" x14ac:dyDescent="0.3">
      <c r="A171" t="s">
        <v>226</v>
      </c>
      <c r="B171" t="s">
        <v>16</v>
      </c>
      <c r="C171">
        <v>56</v>
      </c>
      <c r="D171" t="s">
        <v>17</v>
      </c>
      <c r="E171" t="str">
        <f ca="1">IF(Table1[[#This Row],[is_smoker]]=0,"non-smoker","smoker")</f>
        <v>non-smoker</v>
      </c>
      <c r="F171" t="s">
        <v>48</v>
      </c>
      <c r="G171" s="2">
        <v>0.46341463414634099</v>
      </c>
      <c r="H171" s="2">
        <v>1126.8343929863099</v>
      </c>
    </row>
    <row r="172" spans="1:8" x14ac:dyDescent="0.3">
      <c r="A172" t="s">
        <v>227</v>
      </c>
      <c r="B172" t="s">
        <v>29</v>
      </c>
      <c r="C172">
        <v>56</v>
      </c>
      <c r="D172" t="s">
        <v>10</v>
      </c>
      <c r="E172" t="str">
        <f ca="1">IF(Table1[[#This Row],[is_smoker]]=0,"non-smoker","smoker")</f>
        <v>non-smoker</v>
      </c>
      <c r="F172" t="s">
        <v>27</v>
      </c>
      <c r="G172" s="2">
        <v>0.53252032520325199</v>
      </c>
      <c r="H172" s="2">
        <v>449.81415669699697</v>
      </c>
    </row>
    <row r="173" spans="1:8" x14ac:dyDescent="0.3">
      <c r="A173" t="s">
        <v>228</v>
      </c>
      <c r="B173" t="s">
        <v>229</v>
      </c>
      <c r="C173">
        <v>53</v>
      </c>
      <c r="D173" t="s">
        <v>17</v>
      </c>
      <c r="E173" t="str">
        <f ca="1">IF(Table1[[#This Row],[is_smoker]]=0,"non-smoker","smoker")</f>
        <v>non-smoker</v>
      </c>
      <c r="F173" t="s">
        <v>56</v>
      </c>
      <c r="G173" s="2">
        <v>0.19512195121951201</v>
      </c>
      <c r="H173" s="2">
        <v>484.70898586207898</v>
      </c>
    </row>
    <row r="174" spans="1:8" x14ac:dyDescent="0.3">
      <c r="A174" t="s">
        <v>230</v>
      </c>
      <c r="B174" t="s">
        <v>50</v>
      </c>
      <c r="C174">
        <v>65</v>
      </c>
      <c r="D174" t="s">
        <v>17</v>
      </c>
      <c r="E174" t="str">
        <f ca="1">IF(Table1[[#This Row],[is_smoker]]=0,"non-smoker","smoker")</f>
        <v>non-smoker</v>
      </c>
      <c r="F174" t="s">
        <v>19</v>
      </c>
      <c r="G174" s="2">
        <v>1.11788617886178</v>
      </c>
      <c r="H174" s="2">
        <v>2549.37758665204</v>
      </c>
    </row>
    <row r="175" spans="1:8" x14ac:dyDescent="0.3">
      <c r="A175" t="s">
        <v>231</v>
      </c>
      <c r="B175" t="s">
        <v>50</v>
      </c>
      <c r="C175">
        <v>24</v>
      </c>
      <c r="D175" t="s">
        <v>10</v>
      </c>
      <c r="E175" t="str">
        <f ca="1">IF(Table1[[#This Row],[is_smoker]]=0,"non-smoker","smoker")</f>
        <v>smoker</v>
      </c>
      <c r="F175" t="s">
        <v>56</v>
      </c>
      <c r="G175" s="2">
        <v>0.19512195121951201</v>
      </c>
      <c r="H175" s="2">
        <v>222.33422001356701</v>
      </c>
    </row>
    <row r="176" spans="1:8" x14ac:dyDescent="0.3">
      <c r="A176" t="s">
        <v>232</v>
      </c>
      <c r="B176" t="s">
        <v>113</v>
      </c>
      <c r="C176">
        <v>58</v>
      </c>
      <c r="D176" t="s">
        <v>10</v>
      </c>
      <c r="E176" t="str">
        <f ca="1">IF(Table1[[#This Row],[is_smoker]]=0,"non-smoker","smoker")</f>
        <v>non-smoker</v>
      </c>
      <c r="F176" t="s">
        <v>2004</v>
      </c>
      <c r="G176" s="2">
        <v>1.2073170731707299</v>
      </c>
      <c r="H176" s="2">
        <v>1005.37607450673</v>
      </c>
    </row>
    <row r="177" spans="1:8" x14ac:dyDescent="0.3">
      <c r="A177" t="s">
        <v>233</v>
      </c>
      <c r="B177" t="s">
        <v>60</v>
      </c>
      <c r="C177">
        <v>42</v>
      </c>
      <c r="D177" t="s">
        <v>10</v>
      </c>
      <c r="E177" t="str">
        <f ca="1">IF(Table1[[#This Row],[is_smoker]]=0,"non-smoker","smoker")</f>
        <v>non-smoker</v>
      </c>
      <c r="F177" t="s">
        <v>56</v>
      </c>
      <c r="G177" s="2">
        <v>0.19512195121951201</v>
      </c>
      <c r="H177" s="2">
        <v>182.108892349738</v>
      </c>
    </row>
    <row r="178" spans="1:8" x14ac:dyDescent="0.3">
      <c r="A178" t="s">
        <v>234</v>
      </c>
      <c r="B178" t="s">
        <v>43</v>
      </c>
      <c r="C178">
        <v>29</v>
      </c>
      <c r="D178" t="s">
        <v>17</v>
      </c>
      <c r="E178" t="str">
        <f ca="1">IF(Table1[[#This Row],[is_smoker]]=0,"non-smoker","smoker")</f>
        <v>non-smoker</v>
      </c>
      <c r="F178" t="s">
        <v>56</v>
      </c>
      <c r="G178" s="2">
        <v>0.19512195121951201</v>
      </c>
      <c r="H178" s="2">
        <v>575.11911118025</v>
      </c>
    </row>
    <row r="179" spans="1:8" x14ac:dyDescent="0.3">
      <c r="A179" t="s">
        <v>235</v>
      </c>
      <c r="B179" t="s">
        <v>23</v>
      </c>
      <c r="C179">
        <v>63</v>
      </c>
      <c r="D179" t="s">
        <v>17</v>
      </c>
      <c r="E179" t="str">
        <f ca="1">IF(Table1[[#This Row],[is_smoker]]=0,"non-smoker","smoker")</f>
        <v>non-smoker</v>
      </c>
      <c r="F179" t="s">
        <v>48</v>
      </c>
      <c r="G179" s="2">
        <v>0.46341463414634099</v>
      </c>
      <c r="H179" s="2">
        <v>1072.00311711361</v>
      </c>
    </row>
    <row r="180" spans="1:8" x14ac:dyDescent="0.3">
      <c r="A180" t="s">
        <v>236</v>
      </c>
      <c r="B180" t="s">
        <v>31</v>
      </c>
      <c r="C180">
        <v>18</v>
      </c>
      <c r="D180" t="s">
        <v>10</v>
      </c>
      <c r="E180" t="str">
        <f ca="1">IF(Table1[[#This Row],[is_smoker]]=0,"non-smoker","smoker")</f>
        <v>non-smoker</v>
      </c>
      <c r="F180" t="s">
        <v>48</v>
      </c>
      <c r="G180" s="2">
        <v>0.46341463414634099</v>
      </c>
      <c r="H180" s="2">
        <v>513.18209478791698</v>
      </c>
    </row>
    <row r="181" spans="1:8" x14ac:dyDescent="0.3">
      <c r="A181" t="s">
        <v>237</v>
      </c>
      <c r="B181" t="s">
        <v>13</v>
      </c>
      <c r="C181">
        <v>33</v>
      </c>
      <c r="D181" t="s">
        <v>10</v>
      </c>
      <c r="E181" t="str">
        <f ca="1">IF(Table1[[#This Row],[is_smoker]]=0,"non-smoker","smoker")</f>
        <v>non-smoker</v>
      </c>
      <c r="F181" t="s">
        <v>44</v>
      </c>
      <c r="G181" s="2">
        <v>1.1341463414634101</v>
      </c>
      <c r="H181" s="2">
        <v>1128.6203894441701</v>
      </c>
    </row>
    <row r="182" spans="1:8" x14ac:dyDescent="0.3">
      <c r="A182" t="s">
        <v>238</v>
      </c>
      <c r="B182" t="s">
        <v>43</v>
      </c>
      <c r="C182">
        <v>19</v>
      </c>
      <c r="D182" t="s">
        <v>17</v>
      </c>
      <c r="E182" t="str">
        <f ca="1">IF(Table1[[#This Row],[is_smoker]]=0,"non-smoker","smoker")</f>
        <v>non-smoker</v>
      </c>
      <c r="F182" t="s">
        <v>11</v>
      </c>
      <c r="G182" s="2">
        <v>1.1544715447154399</v>
      </c>
      <c r="H182" s="2">
        <v>3654.1261723913599</v>
      </c>
    </row>
    <row r="183" spans="1:8" x14ac:dyDescent="0.3">
      <c r="A183" t="s">
        <v>239</v>
      </c>
      <c r="B183" t="s">
        <v>85</v>
      </c>
      <c r="C183">
        <v>27</v>
      </c>
      <c r="D183" t="s">
        <v>17</v>
      </c>
      <c r="E183" t="str">
        <f ca="1">IF(Table1[[#This Row],[is_smoker]]=0,"non-smoker","smoker")</f>
        <v>non-smoker</v>
      </c>
      <c r="F183" t="s">
        <v>19</v>
      </c>
      <c r="G183" s="2">
        <v>1.11788617886178</v>
      </c>
      <c r="H183" s="2">
        <v>3342.25039465093</v>
      </c>
    </row>
    <row r="184" spans="1:8" x14ac:dyDescent="0.3">
      <c r="A184" t="s">
        <v>240</v>
      </c>
      <c r="B184" t="s">
        <v>29</v>
      </c>
      <c r="C184">
        <v>37</v>
      </c>
      <c r="D184" t="s">
        <v>17</v>
      </c>
      <c r="E184" t="str">
        <f ca="1">IF(Table1[[#This Row],[is_smoker]]=0,"non-smoker","smoker")</f>
        <v>non-smoker</v>
      </c>
      <c r="F184" t="s">
        <v>56</v>
      </c>
      <c r="G184" s="2">
        <v>0.19512195121951201</v>
      </c>
      <c r="H184" s="2">
        <v>543.24894296961099</v>
      </c>
    </row>
    <row r="185" spans="1:8" x14ac:dyDescent="0.3">
      <c r="A185" t="s">
        <v>241</v>
      </c>
      <c r="B185" t="s">
        <v>60</v>
      </c>
      <c r="C185">
        <v>44</v>
      </c>
      <c r="D185" t="s">
        <v>17</v>
      </c>
      <c r="E185" t="str">
        <f ca="1">IF(Table1[[#This Row],[is_smoker]]=0,"non-smoker","smoker")</f>
        <v>non-smoker</v>
      </c>
      <c r="F185" t="s">
        <v>56</v>
      </c>
      <c r="G185" s="2">
        <v>0.19512195121951201</v>
      </c>
      <c r="H185" s="2">
        <v>516.814683556761</v>
      </c>
    </row>
    <row r="186" spans="1:8" x14ac:dyDescent="0.3">
      <c r="A186" t="s">
        <v>242</v>
      </c>
      <c r="B186" t="s">
        <v>243</v>
      </c>
      <c r="C186">
        <v>55</v>
      </c>
      <c r="D186" t="s">
        <v>10</v>
      </c>
      <c r="E186" t="str">
        <f ca="1">IF(Table1[[#This Row],[is_smoker]]=0,"non-smoker","smoker")</f>
        <v>non-smoker</v>
      </c>
      <c r="F186" t="s">
        <v>27</v>
      </c>
      <c r="G186" s="2">
        <v>0.53252032520325199</v>
      </c>
      <c r="H186" s="2">
        <v>453.03106501551599</v>
      </c>
    </row>
    <row r="187" spans="1:8" x14ac:dyDescent="0.3">
      <c r="A187" t="s">
        <v>244</v>
      </c>
      <c r="B187" t="s">
        <v>245</v>
      </c>
      <c r="C187">
        <v>23</v>
      </c>
      <c r="D187" t="s">
        <v>17</v>
      </c>
      <c r="E187" t="str">
        <f ca="1">IF(Table1[[#This Row],[is_smoker]]=0,"non-smoker","smoker")</f>
        <v>smoker</v>
      </c>
      <c r="F187" t="s">
        <v>48</v>
      </c>
      <c r="G187" s="2">
        <v>0.46341463414634099</v>
      </c>
      <c r="H187" s="2">
        <v>1530.94013114174</v>
      </c>
    </row>
    <row r="188" spans="1:8" x14ac:dyDescent="0.3">
      <c r="A188" t="s">
        <v>246</v>
      </c>
      <c r="B188" t="s">
        <v>60</v>
      </c>
      <c r="C188">
        <v>52</v>
      </c>
      <c r="D188" t="s">
        <v>17</v>
      </c>
      <c r="E188" t="str">
        <f ca="1">IF(Table1[[#This Row],[is_smoker]]=0,"non-smoker","smoker")</f>
        <v>non-smoker</v>
      </c>
      <c r="F188" t="s">
        <v>19</v>
      </c>
      <c r="G188" s="2">
        <v>1.11788617886178</v>
      </c>
      <c r="H188" s="2">
        <v>2796.8385121320898</v>
      </c>
    </row>
    <row r="189" spans="1:8" x14ac:dyDescent="0.3">
      <c r="A189" t="s">
        <v>247</v>
      </c>
      <c r="B189" t="s">
        <v>13</v>
      </c>
      <c r="C189">
        <v>51</v>
      </c>
      <c r="D189" t="s">
        <v>17</v>
      </c>
      <c r="E189" t="str">
        <f ca="1">IF(Table1[[#This Row],[is_smoker]]=0,"non-smoker","smoker")</f>
        <v>non-smoker</v>
      </c>
      <c r="F189" t="s">
        <v>24</v>
      </c>
      <c r="G189" s="2">
        <v>1.70325203252032</v>
      </c>
      <c r="H189" s="2">
        <v>4291.8406020360899</v>
      </c>
    </row>
    <row r="190" spans="1:8" x14ac:dyDescent="0.3">
      <c r="A190" t="s">
        <v>248</v>
      </c>
      <c r="B190" t="s">
        <v>135</v>
      </c>
      <c r="C190">
        <v>33</v>
      </c>
      <c r="D190" t="s">
        <v>17</v>
      </c>
      <c r="E190" t="str">
        <f ca="1">IF(Table1[[#This Row],[is_smoker]]=0,"non-smoker","smoker")</f>
        <v>non-smoker</v>
      </c>
      <c r="F190" t="s">
        <v>44</v>
      </c>
      <c r="G190" s="2">
        <v>1.1341463414634101</v>
      </c>
      <c r="H190" s="2">
        <v>3248.9371537286002</v>
      </c>
    </row>
    <row r="191" spans="1:8" x14ac:dyDescent="0.3">
      <c r="A191" t="s">
        <v>249</v>
      </c>
      <c r="B191" t="s">
        <v>31</v>
      </c>
      <c r="C191">
        <v>51</v>
      </c>
      <c r="D191" t="s">
        <v>17</v>
      </c>
      <c r="E191" t="str">
        <f ca="1">IF(Table1[[#This Row],[is_smoker]]=0,"non-smoker","smoker")</f>
        <v>non-smoker</v>
      </c>
      <c r="F191" t="s">
        <v>11</v>
      </c>
      <c r="G191" s="2">
        <v>1.1544715447154399</v>
      </c>
      <c r="H191" s="2">
        <v>2909.0279975614499</v>
      </c>
    </row>
    <row r="192" spans="1:8" x14ac:dyDescent="0.3">
      <c r="A192" t="s">
        <v>250</v>
      </c>
      <c r="B192" t="s">
        <v>170</v>
      </c>
      <c r="C192">
        <v>58</v>
      </c>
      <c r="D192" t="s">
        <v>10</v>
      </c>
      <c r="E192" t="str">
        <f ca="1">IF(Table1[[#This Row],[is_smoker]]=0,"non-smoker","smoker")</f>
        <v>non-smoker</v>
      </c>
      <c r="F192" t="s">
        <v>14</v>
      </c>
      <c r="G192" s="2">
        <v>0.66666666666666596</v>
      </c>
      <c r="H192" s="2">
        <v>555.15715898688302</v>
      </c>
    </row>
    <row r="193" spans="1:8" x14ac:dyDescent="0.3">
      <c r="A193" t="s">
        <v>251</v>
      </c>
      <c r="B193" t="s">
        <v>110</v>
      </c>
      <c r="C193">
        <v>62</v>
      </c>
      <c r="D193" t="s">
        <v>10</v>
      </c>
      <c r="E193" t="str">
        <f ca="1">IF(Table1[[#This Row],[is_smoker]]=0,"non-smoker","smoker")</f>
        <v>non-smoker</v>
      </c>
      <c r="F193" t="s">
        <v>11</v>
      </c>
      <c r="G193" s="2">
        <v>1.1544715447154399</v>
      </c>
      <c r="H193" s="2">
        <v>934.35299464799596</v>
      </c>
    </row>
    <row r="194" spans="1:8" x14ac:dyDescent="0.3">
      <c r="A194" t="s">
        <v>252</v>
      </c>
      <c r="B194" t="s">
        <v>31</v>
      </c>
      <c r="C194">
        <v>46</v>
      </c>
      <c r="D194" t="s">
        <v>10</v>
      </c>
      <c r="E194" t="str">
        <f ca="1">IF(Table1[[#This Row],[is_smoker]]=0,"non-smoker","smoker")</f>
        <v>non-smoker</v>
      </c>
      <c r="F194" t="s">
        <v>2004</v>
      </c>
      <c r="G194" s="2">
        <v>1.2073170731707299</v>
      </c>
      <c r="H194" s="2">
        <v>1095.1331113604999</v>
      </c>
    </row>
    <row r="195" spans="1:8" x14ac:dyDescent="0.3">
      <c r="A195" t="s">
        <v>253</v>
      </c>
      <c r="B195" t="s">
        <v>254</v>
      </c>
      <c r="C195">
        <v>44</v>
      </c>
      <c r="D195" t="s">
        <v>17</v>
      </c>
      <c r="E195" t="str">
        <f ca="1">IF(Table1[[#This Row],[is_smoker]]=0,"non-smoker","smoker")</f>
        <v>non-smoker</v>
      </c>
      <c r="F195" t="s">
        <v>56</v>
      </c>
      <c r="G195" s="2">
        <v>0.19512195121951201</v>
      </c>
      <c r="H195" s="2">
        <v>516.814683556761</v>
      </c>
    </row>
    <row r="196" spans="1:8" x14ac:dyDescent="0.3">
      <c r="A196" t="s">
        <v>255</v>
      </c>
      <c r="B196" t="s">
        <v>13</v>
      </c>
      <c r="C196">
        <v>32</v>
      </c>
      <c r="D196" t="s">
        <v>17</v>
      </c>
      <c r="E196" t="str">
        <f ca="1">IF(Table1[[#This Row],[is_smoker]]=0,"non-smoker","smoker")</f>
        <v>non-smoker</v>
      </c>
      <c r="F196" t="s">
        <v>44</v>
      </c>
      <c r="G196" s="2">
        <v>1.1341463414634101</v>
      </c>
      <c r="H196" s="2">
        <v>3272.17237832207</v>
      </c>
    </row>
    <row r="197" spans="1:8" x14ac:dyDescent="0.3">
      <c r="A197" t="s">
        <v>256</v>
      </c>
      <c r="B197" t="s">
        <v>29</v>
      </c>
      <c r="C197">
        <v>59</v>
      </c>
      <c r="D197" t="s">
        <v>17</v>
      </c>
      <c r="E197" t="str">
        <f ca="1">IF(Table1[[#This Row],[is_smoker]]=0,"non-smoker","smoker")</f>
        <v>non-smoker</v>
      </c>
      <c r="F197" t="s">
        <v>2004</v>
      </c>
      <c r="G197" s="2">
        <v>1.2073170731707299</v>
      </c>
      <c r="H197" s="2">
        <v>2873.6052000800501</v>
      </c>
    </row>
    <row r="198" spans="1:8" x14ac:dyDescent="0.3">
      <c r="A198" t="s">
        <v>257</v>
      </c>
      <c r="B198" t="s">
        <v>29</v>
      </c>
      <c r="C198">
        <v>21</v>
      </c>
      <c r="D198" t="s">
        <v>10</v>
      </c>
      <c r="E198" t="str">
        <f ca="1">IF(Table1[[#This Row],[is_smoker]]=0,"non-smoker","smoker")</f>
        <v>non-smoker</v>
      </c>
      <c r="F198" t="s">
        <v>19</v>
      </c>
      <c r="G198" s="2">
        <v>1.11788617886178</v>
      </c>
      <c r="H198" s="2">
        <v>1211.75479416899</v>
      </c>
    </row>
    <row r="199" spans="1:8" x14ac:dyDescent="0.3">
      <c r="A199" t="s">
        <v>258</v>
      </c>
      <c r="B199" t="s">
        <v>113</v>
      </c>
      <c r="C199">
        <v>51</v>
      </c>
      <c r="D199" t="s">
        <v>10</v>
      </c>
      <c r="E199" t="str">
        <f ca="1">IF(Table1[[#This Row],[is_smoker]]=0,"non-smoker","smoker")</f>
        <v>non-smoker</v>
      </c>
      <c r="F199" t="s">
        <v>14</v>
      </c>
      <c r="G199" s="2">
        <v>0.66666666666666596</v>
      </c>
      <c r="H199" s="2">
        <v>583.55257580160003</v>
      </c>
    </row>
    <row r="200" spans="1:8" x14ac:dyDescent="0.3">
      <c r="A200" t="s">
        <v>259</v>
      </c>
      <c r="B200" t="s">
        <v>33</v>
      </c>
      <c r="C200">
        <v>43</v>
      </c>
      <c r="D200" t="s">
        <v>17</v>
      </c>
      <c r="E200" t="str">
        <f ca="1">IF(Table1[[#This Row],[is_smoker]]=0,"non-smoker","smoker")</f>
        <v>non-smoker</v>
      </c>
      <c r="F200" t="s">
        <v>48</v>
      </c>
      <c r="G200" s="2">
        <v>0.46341463414634099</v>
      </c>
      <c r="H200" s="2">
        <v>1236.21304415635</v>
      </c>
    </row>
    <row r="201" spans="1:8" x14ac:dyDescent="0.3">
      <c r="A201" t="s">
        <v>260</v>
      </c>
      <c r="B201" t="s">
        <v>29</v>
      </c>
      <c r="C201">
        <v>38</v>
      </c>
      <c r="D201" t="s">
        <v>10</v>
      </c>
      <c r="E201" t="str">
        <f ca="1">IF(Table1[[#This Row],[is_smoker]]=0,"non-smoker","smoker")</f>
        <v>non-smoker</v>
      </c>
      <c r="F201" t="s">
        <v>44</v>
      </c>
      <c r="G201" s="2">
        <v>1.1341463414634101</v>
      </c>
      <c r="H201" s="2">
        <v>1089.1145837213801</v>
      </c>
    </row>
    <row r="202" spans="1:8" x14ac:dyDescent="0.3">
      <c r="A202" t="s">
        <v>261</v>
      </c>
      <c r="B202" t="s">
        <v>23</v>
      </c>
      <c r="C202">
        <v>44</v>
      </c>
      <c r="D202" t="s">
        <v>10</v>
      </c>
      <c r="E202" t="str">
        <f ca="1">IF(Table1[[#This Row],[is_smoker]]=0,"non-smoker","smoker")</f>
        <v>non-smoker</v>
      </c>
      <c r="F202" t="s">
        <v>44</v>
      </c>
      <c r="G202" s="2">
        <v>1.1341463414634101</v>
      </c>
      <c r="H202" s="2">
        <v>1043.5286843420299</v>
      </c>
    </row>
    <row r="203" spans="1:8" x14ac:dyDescent="0.3">
      <c r="A203" t="s">
        <v>262</v>
      </c>
      <c r="B203" t="s">
        <v>128</v>
      </c>
      <c r="C203">
        <v>28</v>
      </c>
      <c r="D203" t="s">
        <v>17</v>
      </c>
      <c r="E203" t="str">
        <f ca="1">IF(Table1[[#This Row],[is_smoker]]=0,"non-smoker","smoker")</f>
        <v>non-smoker</v>
      </c>
      <c r="F203" t="s">
        <v>56</v>
      </c>
      <c r="G203" s="2">
        <v>0.19512195121951201</v>
      </c>
      <c r="H203" s="2">
        <v>579.23215525711896</v>
      </c>
    </row>
    <row r="204" spans="1:8" x14ac:dyDescent="0.3">
      <c r="A204" t="s">
        <v>263</v>
      </c>
      <c r="B204" t="s">
        <v>128</v>
      </c>
      <c r="C204">
        <v>51</v>
      </c>
      <c r="D204" t="s">
        <v>17</v>
      </c>
      <c r="E204" t="str">
        <f ca="1">IF(Table1[[#This Row],[is_smoker]]=0,"non-smoker","smoker")</f>
        <v>non-smoker</v>
      </c>
      <c r="F204" t="s">
        <v>61</v>
      </c>
      <c r="G204" s="2">
        <v>1.61788617886178</v>
      </c>
      <c r="H204" s="2">
        <v>4076.7364191178099</v>
      </c>
    </row>
    <row r="205" spans="1:8" x14ac:dyDescent="0.3">
      <c r="A205" t="s">
        <v>264</v>
      </c>
      <c r="B205" t="s">
        <v>265</v>
      </c>
      <c r="C205">
        <v>20</v>
      </c>
      <c r="D205" t="s">
        <v>10</v>
      </c>
      <c r="E205" t="str">
        <f ca="1">IF(Table1[[#This Row],[is_smoker]]=0,"non-smoker","smoker")</f>
        <v>non-smoker</v>
      </c>
      <c r="F205" t="s">
        <v>44</v>
      </c>
      <c r="G205" s="2">
        <v>1.1341463414634101</v>
      </c>
      <c r="H205" s="2">
        <v>1238.17240227656</v>
      </c>
    </row>
    <row r="206" spans="1:8" x14ac:dyDescent="0.3">
      <c r="A206" t="s">
        <v>266</v>
      </c>
      <c r="B206" t="s">
        <v>60</v>
      </c>
      <c r="C206">
        <v>23</v>
      </c>
      <c r="D206" t="s">
        <v>17</v>
      </c>
      <c r="E206" t="str">
        <f ca="1">IF(Table1[[#This Row],[is_smoker]]=0,"non-smoker","smoker")</f>
        <v>non-smoker</v>
      </c>
      <c r="F206" t="s">
        <v>27</v>
      </c>
      <c r="G206" s="2">
        <v>0.53252032520325199</v>
      </c>
      <c r="H206" s="2">
        <v>1638.16272534008</v>
      </c>
    </row>
    <row r="207" spans="1:8" x14ac:dyDescent="0.3">
      <c r="A207" t="s">
        <v>267</v>
      </c>
      <c r="B207" t="s">
        <v>229</v>
      </c>
      <c r="C207">
        <v>43</v>
      </c>
      <c r="D207" t="s">
        <v>10</v>
      </c>
      <c r="E207" t="str">
        <f ca="1">IF(Table1[[#This Row],[is_smoker]]=0,"non-smoker","smoker")</f>
        <v>non-smoker</v>
      </c>
      <c r="F207" t="s">
        <v>14</v>
      </c>
      <c r="G207" s="2">
        <v>0.66666666666666596</v>
      </c>
      <c r="H207" s="2">
        <v>617.78719142530394</v>
      </c>
    </row>
    <row r="208" spans="1:8" x14ac:dyDescent="0.3">
      <c r="A208" t="s">
        <v>268</v>
      </c>
      <c r="B208" t="s">
        <v>13</v>
      </c>
      <c r="C208">
        <v>43</v>
      </c>
      <c r="D208" t="s">
        <v>17</v>
      </c>
      <c r="E208" t="str">
        <f ca="1">IF(Table1[[#This Row],[is_smoker]]=0,"non-smoker","smoker")</f>
        <v>non-smoker</v>
      </c>
      <c r="F208" t="s">
        <v>14</v>
      </c>
      <c r="G208" s="2">
        <v>0.66666666666666596</v>
      </c>
      <c r="H208" s="2">
        <v>1778.4117477336999</v>
      </c>
    </row>
    <row r="209" spans="1:8" x14ac:dyDescent="0.3">
      <c r="A209" t="s">
        <v>269</v>
      </c>
      <c r="B209" t="s">
        <v>31</v>
      </c>
      <c r="C209">
        <v>40</v>
      </c>
      <c r="D209" t="s">
        <v>10</v>
      </c>
      <c r="E209" t="str">
        <f ca="1">IF(Table1[[#This Row],[is_smoker]]=0,"non-smoker","smoker")</f>
        <v>non-smoker</v>
      </c>
      <c r="F209" t="s">
        <v>27</v>
      </c>
      <c r="G209" s="2">
        <v>0.53252032520325199</v>
      </c>
      <c r="H209" s="2">
        <v>504.13974629292801</v>
      </c>
    </row>
    <row r="210" spans="1:8" x14ac:dyDescent="0.3">
      <c r="A210" t="s">
        <v>270</v>
      </c>
      <c r="B210" t="s">
        <v>16</v>
      </c>
      <c r="C210">
        <v>23</v>
      </c>
      <c r="D210" t="s">
        <v>17</v>
      </c>
      <c r="E210" t="str">
        <f ca="1">IF(Table1[[#This Row],[is_smoker]]=0,"non-smoker","smoker")</f>
        <v>non-smoker</v>
      </c>
      <c r="F210" t="s">
        <v>24</v>
      </c>
      <c r="G210" s="2">
        <v>1.70325203252032</v>
      </c>
      <c r="H210" s="2">
        <v>5239.6197092938701</v>
      </c>
    </row>
    <row r="211" spans="1:8" x14ac:dyDescent="0.3">
      <c r="A211" t="s">
        <v>271</v>
      </c>
      <c r="B211" t="s">
        <v>272</v>
      </c>
      <c r="C211">
        <v>20</v>
      </c>
      <c r="D211" t="s">
        <v>17</v>
      </c>
      <c r="E211" t="str">
        <f ca="1">IF(Table1[[#This Row],[is_smoker]]=0,"non-smoker","smoker")</f>
        <v>non-smoker</v>
      </c>
      <c r="F211" t="s">
        <v>27</v>
      </c>
      <c r="G211" s="2">
        <v>0.53252032520325199</v>
      </c>
      <c r="H211" s="2">
        <v>1673.56132433469</v>
      </c>
    </row>
    <row r="212" spans="1:8" x14ac:dyDescent="0.3">
      <c r="A212" t="s">
        <v>273</v>
      </c>
      <c r="B212" t="s">
        <v>43</v>
      </c>
      <c r="C212">
        <v>59</v>
      </c>
      <c r="D212" t="s">
        <v>10</v>
      </c>
      <c r="E212" t="str">
        <f ca="1">IF(Table1[[#This Row],[is_smoker]]=0,"non-smoker","smoker")</f>
        <v>non-smoker</v>
      </c>
      <c r="F212" t="s">
        <v>27</v>
      </c>
      <c r="G212" s="2">
        <v>0.53252032520325199</v>
      </c>
      <c r="H212" s="2">
        <v>440.299840894233</v>
      </c>
    </row>
    <row r="213" spans="1:8" x14ac:dyDescent="0.3">
      <c r="A213" t="s">
        <v>274</v>
      </c>
      <c r="B213" t="s">
        <v>29</v>
      </c>
      <c r="C213">
        <v>53</v>
      </c>
      <c r="D213" t="s">
        <v>10</v>
      </c>
      <c r="E213" t="str">
        <f ca="1">IF(Table1[[#This Row],[is_smoker]]=0,"non-smoker","smoker")</f>
        <v>non-smoker</v>
      </c>
      <c r="F213" t="s">
        <v>14</v>
      </c>
      <c r="G213" s="2">
        <v>0.66666666666666596</v>
      </c>
      <c r="H213" s="2">
        <v>575.29455425856895</v>
      </c>
    </row>
    <row r="214" spans="1:8" x14ac:dyDescent="0.3">
      <c r="A214" t="s">
        <v>275</v>
      </c>
      <c r="B214" t="s">
        <v>13</v>
      </c>
      <c r="C214">
        <v>30</v>
      </c>
      <c r="D214" t="s">
        <v>17</v>
      </c>
      <c r="E214" t="str">
        <f ca="1">IF(Table1[[#This Row],[is_smoker]]=0,"non-smoker","smoker")</f>
        <v>non-smoker</v>
      </c>
      <c r="F214" t="s">
        <v>11</v>
      </c>
      <c r="G214" s="2">
        <v>1.1544715447154399</v>
      </c>
      <c r="H214" s="2">
        <v>3378.62536665077</v>
      </c>
    </row>
    <row r="215" spans="1:8" x14ac:dyDescent="0.3">
      <c r="A215" t="s">
        <v>276</v>
      </c>
      <c r="B215" t="s">
        <v>113</v>
      </c>
      <c r="C215">
        <v>63</v>
      </c>
      <c r="D215" t="s">
        <v>10</v>
      </c>
      <c r="E215" t="str">
        <f ca="1">IF(Table1[[#This Row],[is_smoker]]=0,"non-smoker","smoker")</f>
        <v>non-smoker</v>
      </c>
      <c r="F215" t="s">
        <v>14</v>
      </c>
      <c r="G215" s="2">
        <v>0.66666666666666596</v>
      </c>
      <c r="H215" s="2">
        <v>535.72464556281102</v>
      </c>
    </row>
    <row r="216" spans="1:8" x14ac:dyDescent="0.3">
      <c r="A216" t="s">
        <v>277</v>
      </c>
      <c r="B216" t="s">
        <v>170</v>
      </c>
      <c r="C216">
        <v>31</v>
      </c>
      <c r="D216" t="s">
        <v>10</v>
      </c>
      <c r="E216" t="str">
        <f ca="1">IF(Table1[[#This Row],[is_smoker]]=0,"non-smoker","smoker")</f>
        <v>non-smoker</v>
      </c>
      <c r="F216" t="s">
        <v>61</v>
      </c>
      <c r="G216" s="2">
        <v>1.61788617886178</v>
      </c>
      <c r="H216" s="2">
        <v>1633.11394812406</v>
      </c>
    </row>
    <row r="217" spans="1:8" x14ac:dyDescent="0.3">
      <c r="A217" t="s">
        <v>278</v>
      </c>
      <c r="B217" t="s">
        <v>243</v>
      </c>
      <c r="C217">
        <v>53</v>
      </c>
      <c r="D217" t="s">
        <v>17</v>
      </c>
      <c r="E217" t="str">
        <f ca="1">IF(Table1[[#This Row],[is_smoker]]=0,"non-smoker","smoker")</f>
        <v>non-smoker</v>
      </c>
      <c r="F217" t="s">
        <v>56</v>
      </c>
      <c r="G217" s="2">
        <v>0.19512195121951201</v>
      </c>
      <c r="H217" s="2">
        <v>484.70898586207898</v>
      </c>
    </row>
    <row r="218" spans="1:8" x14ac:dyDescent="0.3">
      <c r="A218" t="s">
        <v>279</v>
      </c>
      <c r="B218" t="s">
        <v>29</v>
      </c>
      <c r="C218">
        <v>24</v>
      </c>
      <c r="D218" t="s">
        <v>10</v>
      </c>
      <c r="E218" t="str">
        <f ca="1">IF(Table1[[#This Row],[is_smoker]]=0,"non-smoker","smoker")</f>
        <v>smoker</v>
      </c>
      <c r="F218" t="s">
        <v>2004</v>
      </c>
      <c r="G218" s="2">
        <v>1.2073170731707299</v>
      </c>
      <c r="H218" s="2">
        <v>1375.6929863339401</v>
      </c>
    </row>
    <row r="219" spans="1:8" x14ac:dyDescent="0.3">
      <c r="A219" t="s">
        <v>280</v>
      </c>
      <c r="B219" t="s">
        <v>113</v>
      </c>
      <c r="C219">
        <v>60</v>
      </c>
      <c r="D219" t="s">
        <v>17</v>
      </c>
      <c r="E219" t="str">
        <f ca="1">IF(Table1[[#This Row],[is_smoker]]=0,"non-smoker","smoker")</f>
        <v>non-smoker</v>
      </c>
      <c r="F219" t="s">
        <v>11</v>
      </c>
      <c r="G219" s="2">
        <v>1.1544715447154399</v>
      </c>
      <c r="H219" s="2">
        <v>2728.3125952197202</v>
      </c>
    </row>
    <row r="220" spans="1:8" x14ac:dyDescent="0.3">
      <c r="A220" t="s">
        <v>281</v>
      </c>
      <c r="B220" t="s">
        <v>113</v>
      </c>
      <c r="C220">
        <v>43</v>
      </c>
      <c r="D220" t="s">
        <v>10</v>
      </c>
      <c r="E220" t="str">
        <f ca="1">IF(Table1[[#This Row],[is_smoker]]=0,"non-smoker","smoker")</f>
        <v>non-smoker</v>
      </c>
      <c r="F220" t="s">
        <v>48</v>
      </c>
      <c r="G220" s="2">
        <v>0.46341463414634099</v>
      </c>
      <c r="H220" s="2">
        <v>429.43743794198002</v>
      </c>
    </row>
    <row r="221" spans="1:8" x14ac:dyDescent="0.3">
      <c r="A221" t="s">
        <v>282</v>
      </c>
      <c r="B221" t="s">
        <v>85</v>
      </c>
      <c r="C221">
        <v>33</v>
      </c>
      <c r="D221" t="s">
        <v>10</v>
      </c>
      <c r="E221" t="str">
        <f ca="1">IF(Table1[[#This Row],[is_smoker]]=0,"non-smoker","smoker")</f>
        <v>non-smoker</v>
      </c>
      <c r="F221" t="s">
        <v>2004</v>
      </c>
      <c r="G221" s="2">
        <v>1.2073170731707299</v>
      </c>
      <c r="H221" s="2">
        <v>1201.4346081179899</v>
      </c>
    </row>
    <row r="222" spans="1:8" x14ac:dyDescent="0.3">
      <c r="A222" t="s">
        <v>283</v>
      </c>
      <c r="B222" t="s">
        <v>113</v>
      </c>
      <c r="C222">
        <v>63</v>
      </c>
      <c r="D222" t="s">
        <v>17</v>
      </c>
      <c r="E222" t="str">
        <f ca="1">IF(Table1[[#This Row],[is_smoker]]=0,"non-smoker","smoker")</f>
        <v>non-smoker</v>
      </c>
      <c r="F222" t="s">
        <v>56</v>
      </c>
      <c r="G222" s="2">
        <v>0.19512195121951201</v>
      </c>
      <c r="H222" s="2">
        <v>451.36973352152</v>
      </c>
    </row>
    <row r="223" spans="1:8" x14ac:dyDescent="0.3">
      <c r="A223" s="1" t="s">
        <v>284</v>
      </c>
      <c r="B223" t="s">
        <v>243</v>
      </c>
      <c r="C223">
        <v>60</v>
      </c>
      <c r="D223" t="s">
        <v>10</v>
      </c>
      <c r="E223" t="str">
        <f ca="1">IF(Table1[[#This Row],[is_smoker]]=0,"non-smoker","smoker")</f>
        <v>non-smoker</v>
      </c>
      <c r="F223" t="s">
        <v>61</v>
      </c>
      <c r="G223" s="2">
        <v>1.61788617886178</v>
      </c>
      <c r="H223" s="2">
        <v>1328.20601065045</v>
      </c>
    </row>
    <row r="224" spans="1:8" x14ac:dyDescent="0.3">
      <c r="A224" s="1" t="s">
        <v>285</v>
      </c>
      <c r="B224" t="s">
        <v>113</v>
      </c>
      <c r="C224">
        <v>59</v>
      </c>
      <c r="D224" t="s">
        <v>10</v>
      </c>
      <c r="E224" t="str">
        <f ca="1">IF(Table1[[#This Row],[is_smoker]]=0,"non-smoker","smoker")</f>
        <v>non-smoker</v>
      </c>
      <c r="F224" t="s">
        <v>61</v>
      </c>
      <c r="G224" s="2">
        <v>1.61788617886178</v>
      </c>
      <c r="H224" s="2">
        <v>1337.7048601214101</v>
      </c>
    </row>
    <row r="225" spans="1:8" x14ac:dyDescent="0.3">
      <c r="A225" t="s">
        <v>286</v>
      </c>
      <c r="B225" t="s">
        <v>43</v>
      </c>
      <c r="C225">
        <v>60</v>
      </c>
      <c r="D225" t="s">
        <v>17</v>
      </c>
      <c r="E225" t="str">
        <f ca="1">IF(Table1[[#This Row],[is_smoker]]=0,"non-smoker","smoker")</f>
        <v>non-smoker</v>
      </c>
      <c r="F225" t="s">
        <v>48</v>
      </c>
      <c r="G225" s="2">
        <v>0.46341463414634099</v>
      </c>
      <c r="H225" s="2">
        <v>1095.16773188397</v>
      </c>
    </row>
    <row r="226" spans="1:8" x14ac:dyDescent="0.3">
      <c r="A226" t="s">
        <v>287</v>
      </c>
      <c r="B226" t="s">
        <v>29</v>
      </c>
      <c r="C226">
        <v>49</v>
      </c>
      <c r="D226" t="s">
        <v>17</v>
      </c>
      <c r="E226" t="str">
        <f ca="1">IF(Table1[[#This Row],[is_smoker]]=0,"non-smoker","smoker")</f>
        <v>non-smoker</v>
      </c>
      <c r="F226" t="s">
        <v>11</v>
      </c>
      <c r="G226" s="2">
        <v>1.1544715447154399</v>
      </c>
      <c r="H226" s="2">
        <v>2950.7854167744699</v>
      </c>
    </row>
    <row r="227" spans="1:8" x14ac:dyDescent="0.3">
      <c r="A227" t="s">
        <v>288</v>
      </c>
      <c r="B227" t="s">
        <v>13</v>
      </c>
      <c r="C227">
        <v>38</v>
      </c>
      <c r="D227" t="s">
        <v>10</v>
      </c>
      <c r="E227" t="str">
        <f ca="1">IF(Table1[[#This Row],[is_smoker]]=0,"non-smoker","smoker")</f>
        <v>non-smoker</v>
      </c>
      <c r="F227" t="s">
        <v>24</v>
      </c>
      <c r="G227" s="2">
        <v>1.70325203252032</v>
      </c>
      <c r="H227" s="2">
        <v>1635.6236938324701</v>
      </c>
    </row>
    <row r="228" spans="1:8" x14ac:dyDescent="0.3">
      <c r="A228" t="s">
        <v>289</v>
      </c>
      <c r="B228" t="s">
        <v>13</v>
      </c>
      <c r="C228">
        <v>23</v>
      </c>
      <c r="D228" t="s">
        <v>10</v>
      </c>
      <c r="E228" t="str">
        <f ca="1">IF(Table1[[#This Row],[is_smoker]]=0,"non-smoker","smoker")</f>
        <v>smoker</v>
      </c>
      <c r="F228" t="s">
        <v>27</v>
      </c>
      <c r="G228" s="2">
        <v>0.53252032520325199</v>
      </c>
      <c r="H228" s="2">
        <v>611.12666451198595</v>
      </c>
    </row>
    <row r="229" spans="1:8" x14ac:dyDescent="0.3">
      <c r="A229" t="s">
        <v>290</v>
      </c>
      <c r="B229" t="s">
        <v>78</v>
      </c>
      <c r="C229">
        <v>61</v>
      </c>
      <c r="D229" t="s">
        <v>17</v>
      </c>
      <c r="E229" t="str">
        <f ca="1">IF(Table1[[#This Row],[is_smoker]]=0,"non-smoker","smoker")</f>
        <v>non-smoker</v>
      </c>
      <c r="F229" t="s">
        <v>11</v>
      </c>
      <c r="G229" s="2">
        <v>1.1544715447154399</v>
      </c>
      <c r="H229" s="2">
        <v>2708.9392405850199</v>
      </c>
    </row>
    <row r="230" spans="1:8" x14ac:dyDescent="0.3">
      <c r="A230" t="s">
        <v>291</v>
      </c>
      <c r="B230" t="s">
        <v>16</v>
      </c>
      <c r="C230">
        <v>24</v>
      </c>
      <c r="D230" t="s">
        <v>17</v>
      </c>
      <c r="E230" t="str">
        <f ca="1">IF(Table1[[#This Row],[is_smoker]]=0,"non-smoker","smoker")</f>
        <v>non-smoker</v>
      </c>
      <c r="F230" t="s">
        <v>24</v>
      </c>
      <c r="G230" s="2">
        <v>1.70325203252032</v>
      </c>
      <c r="H230" s="2">
        <v>5202.4139246792402</v>
      </c>
    </row>
    <row r="231" spans="1:8" x14ac:dyDescent="0.3">
      <c r="A231" t="s">
        <v>292</v>
      </c>
      <c r="B231" t="s">
        <v>43</v>
      </c>
      <c r="C231">
        <v>53</v>
      </c>
      <c r="D231" t="s">
        <v>10</v>
      </c>
      <c r="E231" t="str">
        <f ca="1">IF(Table1[[#This Row],[is_smoker]]=0,"non-smoker","smoker")</f>
        <v>non-smoker</v>
      </c>
      <c r="F231" t="s">
        <v>61</v>
      </c>
      <c r="G231" s="2">
        <v>1.61788617886178</v>
      </c>
      <c r="H231" s="2">
        <v>1396.1416621640899</v>
      </c>
    </row>
    <row r="232" spans="1:8" x14ac:dyDescent="0.3">
      <c r="A232" t="s">
        <v>293</v>
      </c>
      <c r="B232" t="s">
        <v>33</v>
      </c>
      <c r="C232">
        <v>26</v>
      </c>
      <c r="D232" t="s">
        <v>17</v>
      </c>
      <c r="E232" t="str">
        <f ca="1">IF(Table1[[#This Row],[is_smoker]]=0,"non-smoker","smoker")</f>
        <v>non-smoker</v>
      </c>
      <c r="F232" t="s">
        <v>14</v>
      </c>
      <c r="G232" s="2">
        <v>0.66666666666666596</v>
      </c>
      <c r="H232" s="2">
        <v>2007.4512208712799</v>
      </c>
    </row>
    <row r="233" spans="1:8" x14ac:dyDescent="0.3">
      <c r="A233" t="s">
        <v>294</v>
      </c>
      <c r="B233" t="s">
        <v>13</v>
      </c>
      <c r="C233">
        <v>30</v>
      </c>
      <c r="D233" t="s">
        <v>17</v>
      </c>
      <c r="E233" t="str">
        <f ca="1">IF(Table1[[#This Row],[is_smoker]]=0,"non-smoker","smoker")</f>
        <v>non-smoker</v>
      </c>
      <c r="F233" t="s">
        <v>56</v>
      </c>
      <c r="G233" s="2">
        <v>0.19512195121951201</v>
      </c>
      <c r="H233" s="2">
        <v>571.03527323674996</v>
      </c>
    </row>
    <row r="234" spans="1:8" x14ac:dyDescent="0.3">
      <c r="A234" t="s">
        <v>295</v>
      </c>
      <c r="B234" t="s">
        <v>43</v>
      </c>
      <c r="C234">
        <v>52</v>
      </c>
      <c r="D234" t="s">
        <v>10</v>
      </c>
      <c r="E234" t="str">
        <f ca="1">IF(Table1[[#This Row],[is_smoker]]=0,"non-smoker","smoker")</f>
        <v>non-smoker</v>
      </c>
      <c r="F234" t="s">
        <v>48</v>
      </c>
      <c r="G234" s="2">
        <v>0.46341463414634099</v>
      </c>
      <c r="H234" s="2">
        <v>402.759812479679</v>
      </c>
    </row>
    <row r="235" spans="1:8" x14ac:dyDescent="0.3">
      <c r="A235" t="s">
        <v>296</v>
      </c>
      <c r="B235" t="s">
        <v>113</v>
      </c>
      <c r="C235">
        <v>24</v>
      </c>
      <c r="D235" t="s">
        <v>17</v>
      </c>
      <c r="E235" t="str">
        <f ca="1">IF(Table1[[#This Row],[is_smoker]]=0,"non-smoker","smoker")</f>
        <v>non-smoker</v>
      </c>
      <c r="F235" t="s">
        <v>56</v>
      </c>
      <c r="G235" s="2">
        <v>0.19512195121951201</v>
      </c>
      <c r="H235" s="2">
        <v>595.98059280334996</v>
      </c>
    </row>
    <row r="236" spans="1:8" x14ac:dyDescent="0.3">
      <c r="A236" t="s">
        <v>297</v>
      </c>
      <c r="B236" t="s">
        <v>13</v>
      </c>
      <c r="C236">
        <v>25</v>
      </c>
      <c r="D236" t="s">
        <v>17</v>
      </c>
      <c r="E236" t="str">
        <f ca="1">IF(Table1[[#This Row],[is_smoker]]=0,"non-smoker","smoker")</f>
        <v>non-smoker</v>
      </c>
      <c r="F236" t="s">
        <v>19</v>
      </c>
      <c r="G236" s="2">
        <v>1.11788617886178</v>
      </c>
      <c r="H236" s="2">
        <v>3390.2264715265401</v>
      </c>
    </row>
    <row r="237" spans="1:8" x14ac:dyDescent="0.3">
      <c r="A237" t="s">
        <v>298</v>
      </c>
      <c r="B237" t="s">
        <v>92</v>
      </c>
      <c r="C237">
        <v>35</v>
      </c>
      <c r="D237" t="s">
        <v>10</v>
      </c>
      <c r="E237" t="str">
        <f ca="1">IF(Table1[[#This Row],[is_smoker]]=0,"non-smoker","smoker")</f>
        <v>non-smoker</v>
      </c>
      <c r="F237" t="s">
        <v>19</v>
      </c>
      <c r="G237" s="2">
        <v>1.11788617886178</v>
      </c>
      <c r="H237" s="2">
        <v>1096.69699902618</v>
      </c>
    </row>
    <row r="238" spans="1:8" x14ac:dyDescent="0.3">
      <c r="A238" t="s">
        <v>299</v>
      </c>
      <c r="B238" t="s">
        <v>35</v>
      </c>
      <c r="C238">
        <v>58</v>
      </c>
      <c r="D238" t="s">
        <v>17</v>
      </c>
      <c r="E238" t="str">
        <f ca="1">IF(Table1[[#This Row],[is_smoker]]=0,"non-smoker","smoker")</f>
        <v>non-smoker</v>
      </c>
      <c r="F238" t="s">
        <v>11</v>
      </c>
      <c r="G238" s="2">
        <v>1.1544715447154399</v>
      </c>
      <c r="H238" s="2">
        <v>2767.4759490541401</v>
      </c>
    </row>
    <row r="239" spans="1:8" x14ac:dyDescent="0.3">
      <c r="A239" t="s">
        <v>300</v>
      </c>
      <c r="B239" t="s">
        <v>113</v>
      </c>
      <c r="C239">
        <v>28</v>
      </c>
      <c r="D239" t="s">
        <v>10</v>
      </c>
      <c r="E239" t="str">
        <f ca="1">IF(Table1[[#This Row],[is_smoker]]=0,"non-smoker","smoker")</f>
        <v>non-smoker</v>
      </c>
      <c r="F239" t="s">
        <v>61</v>
      </c>
      <c r="G239" s="2">
        <v>1.61788617886178</v>
      </c>
      <c r="H239" s="2">
        <v>1668.40344950747</v>
      </c>
    </row>
    <row r="240" spans="1:8" x14ac:dyDescent="0.3">
      <c r="A240" t="s">
        <v>301</v>
      </c>
      <c r="B240" t="s">
        <v>13</v>
      </c>
      <c r="C240">
        <v>46</v>
      </c>
      <c r="D240" t="s">
        <v>10</v>
      </c>
      <c r="E240" t="str">
        <f ca="1">IF(Table1[[#This Row],[is_smoker]]=0,"non-smoker","smoker")</f>
        <v>non-smoker</v>
      </c>
      <c r="F240" t="s">
        <v>61</v>
      </c>
      <c r="G240" s="2">
        <v>1.61788617886178</v>
      </c>
      <c r="H240" s="2">
        <v>1467.55211556054</v>
      </c>
    </row>
    <row r="241" spans="1:8" x14ac:dyDescent="0.3">
      <c r="A241" s="1" t="s">
        <v>302</v>
      </c>
      <c r="B241" t="s">
        <v>88</v>
      </c>
      <c r="C241">
        <v>48</v>
      </c>
      <c r="D241" t="s">
        <v>10</v>
      </c>
      <c r="E241" t="str">
        <f ca="1">IF(Table1[[#This Row],[is_smoker]]=0,"non-smoker","smoker")</f>
        <v>non-smoker</v>
      </c>
      <c r="F241" t="s">
        <v>27</v>
      </c>
      <c r="G241" s="2">
        <v>0.53252032520325199</v>
      </c>
      <c r="H241" s="2">
        <v>476.20289251136597</v>
      </c>
    </row>
    <row r="242" spans="1:8" x14ac:dyDescent="0.3">
      <c r="A242" t="s">
        <v>303</v>
      </c>
      <c r="B242" t="s">
        <v>128</v>
      </c>
      <c r="C242">
        <v>32</v>
      </c>
      <c r="D242" t="s">
        <v>17</v>
      </c>
      <c r="E242" t="str">
        <f ca="1">IF(Table1[[#This Row],[is_smoker]]=0,"non-smoker","smoker")</f>
        <v>non-smoker</v>
      </c>
      <c r="F242" t="s">
        <v>27</v>
      </c>
      <c r="G242" s="2">
        <v>0.53252032520325199</v>
      </c>
      <c r="H242" s="2">
        <v>1536.3963496781</v>
      </c>
    </row>
    <row r="243" spans="1:8" x14ac:dyDescent="0.3">
      <c r="A243" t="s">
        <v>304</v>
      </c>
      <c r="B243" t="s">
        <v>78</v>
      </c>
      <c r="C243">
        <v>29</v>
      </c>
      <c r="D243" t="s">
        <v>17</v>
      </c>
      <c r="E243" t="str">
        <f ca="1">IF(Table1[[#This Row],[is_smoker]]=0,"non-smoker","smoker")</f>
        <v>non-smoker</v>
      </c>
      <c r="F243" t="s">
        <v>27</v>
      </c>
      <c r="G243" s="2">
        <v>0.53252032520325199</v>
      </c>
      <c r="H243" s="2">
        <v>1569.59590759609</v>
      </c>
    </row>
    <row r="244" spans="1:8" x14ac:dyDescent="0.3">
      <c r="A244" t="s">
        <v>305</v>
      </c>
      <c r="B244" t="s">
        <v>60</v>
      </c>
      <c r="C244">
        <v>57</v>
      </c>
      <c r="D244" t="s">
        <v>17</v>
      </c>
      <c r="E244" t="str">
        <f ca="1">IF(Table1[[#This Row],[is_smoker]]=0,"non-smoker","smoker")</f>
        <v>non-smoker</v>
      </c>
      <c r="F244" t="s">
        <v>14</v>
      </c>
      <c r="G244" s="2">
        <v>0.66666666666666596</v>
      </c>
      <c r="H244" s="2">
        <v>1609.5490904246799</v>
      </c>
    </row>
    <row r="245" spans="1:8" x14ac:dyDescent="0.3">
      <c r="A245" t="s">
        <v>306</v>
      </c>
      <c r="B245" t="s">
        <v>33</v>
      </c>
      <c r="C245">
        <v>61</v>
      </c>
      <c r="D245" t="s">
        <v>17</v>
      </c>
      <c r="E245" t="str">
        <f ca="1">IF(Table1[[#This Row],[is_smoker]]=0,"non-smoker","smoker")</f>
        <v>non-smoker</v>
      </c>
      <c r="F245" t="s">
        <v>2004</v>
      </c>
      <c r="G245" s="2">
        <v>1.2073170731707299</v>
      </c>
      <c r="H245" s="2">
        <v>2832.9399804709501</v>
      </c>
    </row>
    <row r="246" spans="1:8" x14ac:dyDescent="0.3">
      <c r="A246" t="s">
        <v>307</v>
      </c>
      <c r="B246" t="s">
        <v>29</v>
      </c>
      <c r="C246">
        <v>59</v>
      </c>
      <c r="D246" t="s">
        <v>10</v>
      </c>
      <c r="E246" t="str">
        <f ca="1">IF(Table1[[#This Row],[is_smoker]]=0,"non-smoker","smoker")</f>
        <v>non-smoker</v>
      </c>
      <c r="F246" t="s">
        <v>44</v>
      </c>
      <c r="G246" s="2">
        <v>1.1341463414634101</v>
      </c>
      <c r="H246" s="2">
        <v>937.737829080084</v>
      </c>
    </row>
    <row r="247" spans="1:8" x14ac:dyDescent="0.3">
      <c r="A247" t="s">
        <v>308</v>
      </c>
      <c r="B247" t="s">
        <v>31</v>
      </c>
      <c r="C247">
        <v>31</v>
      </c>
      <c r="D247" t="s">
        <v>17</v>
      </c>
      <c r="E247" t="str">
        <f ca="1">IF(Table1[[#This Row],[is_smoker]]=0,"non-smoker","smoker")</f>
        <v>non-smoker</v>
      </c>
      <c r="F247" t="s">
        <v>2004</v>
      </c>
      <c r="G247" s="2">
        <v>1.2073170731707299</v>
      </c>
      <c r="H247" s="2">
        <v>3508.1914356105799</v>
      </c>
    </row>
    <row r="248" spans="1:8" x14ac:dyDescent="0.3">
      <c r="A248" t="s">
        <v>309</v>
      </c>
      <c r="B248" t="s">
        <v>13</v>
      </c>
      <c r="C248">
        <v>23</v>
      </c>
      <c r="D248" t="s">
        <v>10</v>
      </c>
      <c r="E248" t="str">
        <f ca="1">IF(Table1[[#This Row],[is_smoker]]=0,"non-smoker","smoker")</f>
        <v>non-smoker</v>
      </c>
      <c r="F248" t="s">
        <v>56</v>
      </c>
      <c r="G248" s="2">
        <v>0.19512195121951201</v>
      </c>
      <c r="H248" s="2">
        <v>208.51320454811801</v>
      </c>
    </row>
    <row r="249" spans="1:8" x14ac:dyDescent="0.3">
      <c r="A249" t="s">
        <v>310</v>
      </c>
      <c r="B249" t="s">
        <v>29</v>
      </c>
      <c r="C249">
        <v>22</v>
      </c>
      <c r="D249" t="s">
        <v>10</v>
      </c>
      <c r="E249" t="str">
        <f ca="1">IF(Table1[[#This Row],[is_smoker]]=0,"non-smoker","smoker")</f>
        <v>non-smoker</v>
      </c>
      <c r="F249" t="s">
        <v>2004</v>
      </c>
      <c r="G249" s="2">
        <v>1.2073170731707299</v>
      </c>
      <c r="H249" s="2">
        <v>1299.40232180661</v>
      </c>
    </row>
    <row r="250" spans="1:8" x14ac:dyDescent="0.3">
      <c r="A250" t="s">
        <v>311</v>
      </c>
      <c r="B250" t="s">
        <v>229</v>
      </c>
      <c r="C250">
        <v>48</v>
      </c>
      <c r="D250" t="s">
        <v>10</v>
      </c>
      <c r="E250" t="str">
        <f ca="1">IF(Table1[[#This Row],[is_smoker]]=0,"non-smoker","smoker")</f>
        <v>non-smoker</v>
      </c>
      <c r="F250" t="s">
        <v>14</v>
      </c>
      <c r="G250" s="2">
        <v>0.66666666666666596</v>
      </c>
      <c r="H250" s="2">
        <v>596.16239978522106</v>
      </c>
    </row>
    <row r="251" spans="1:8" x14ac:dyDescent="0.3">
      <c r="A251" t="s">
        <v>312</v>
      </c>
      <c r="B251" t="s">
        <v>50</v>
      </c>
      <c r="C251">
        <v>44</v>
      </c>
      <c r="D251" t="s">
        <v>17</v>
      </c>
      <c r="E251" t="str">
        <f ca="1">IF(Table1[[#This Row],[is_smoker]]=0,"non-smoker","smoker")</f>
        <v>non-smoker</v>
      </c>
      <c r="F251" t="s">
        <v>56</v>
      </c>
      <c r="G251" s="2">
        <v>0.19512195121951201</v>
      </c>
      <c r="H251" s="2">
        <v>516.814683556761</v>
      </c>
    </row>
    <row r="252" spans="1:8" x14ac:dyDescent="0.3">
      <c r="A252" t="s">
        <v>313</v>
      </c>
      <c r="B252" t="s">
        <v>60</v>
      </c>
      <c r="C252">
        <v>65</v>
      </c>
      <c r="D252" t="s">
        <v>10</v>
      </c>
      <c r="E252" t="str">
        <f ca="1">IF(Table1[[#This Row],[is_smoker]]=0,"non-smoker","smoker")</f>
        <v>non-smoker</v>
      </c>
      <c r="F252" t="s">
        <v>2004</v>
      </c>
      <c r="G252" s="2">
        <v>1.2073170731707299</v>
      </c>
      <c r="H252" s="2">
        <v>956.45490806008399</v>
      </c>
    </row>
    <row r="253" spans="1:8" x14ac:dyDescent="0.3">
      <c r="A253" t="s">
        <v>314</v>
      </c>
      <c r="B253" t="s">
        <v>60</v>
      </c>
      <c r="C253">
        <v>19</v>
      </c>
      <c r="D253" t="s">
        <v>10</v>
      </c>
      <c r="E253" t="str">
        <f ca="1">IF(Table1[[#This Row],[is_smoker]]=0,"non-smoker","smoker")</f>
        <v>non-smoker</v>
      </c>
      <c r="F253" t="s">
        <v>14</v>
      </c>
      <c r="G253" s="2">
        <v>0.66666666666666596</v>
      </c>
      <c r="H253" s="2">
        <v>733.01966910958595</v>
      </c>
    </row>
    <row r="254" spans="1:8" x14ac:dyDescent="0.3">
      <c r="A254" t="s">
        <v>315</v>
      </c>
      <c r="B254" t="s">
        <v>16</v>
      </c>
      <c r="C254">
        <v>52</v>
      </c>
      <c r="D254" t="s">
        <v>17</v>
      </c>
      <c r="E254" t="str">
        <f ca="1">IF(Table1[[#This Row],[is_smoker]]=0,"non-smoker","smoker")</f>
        <v>non-smoker</v>
      </c>
      <c r="F254" t="s">
        <v>44</v>
      </c>
      <c r="G254" s="2">
        <v>1.1341463414634101</v>
      </c>
      <c r="H254" s="2">
        <v>2837.51979958128</v>
      </c>
    </row>
    <row r="255" spans="1:8" x14ac:dyDescent="0.3">
      <c r="A255" t="s">
        <v>316</v>
      </c>
      <c r="B255" t="s">
        <v>43</v>
      </c>
      <c r="C255">
        <v>62</v>
      </c>
      <c r="D255" t="s">
        <v>17</v>
      </c>
      <c r="E255" t="str">
        <f ca="1">IF(Table1[[#This Row],[is_smoker]]=0,"non-smoker","smoker")</f>
        <v>non-smoker</v>
      </c>
      <c r="F255" t="s">
        <v>2004</v>
      </c>
      <c r="G255" s="2">
        <v>1.2073170731707299</v>
      </c>
      <c r="H255" s="2">
        <v>2812.8236818486298</v>
      </c>
    </row>
    <row r="256" spans="1:8" x14ac:dyDescent="0.3">
      <c r="A256" t="s">
        <v>317</v>
      </c>
      <c r="B256" t="s">
        <v>13</v>
      </c>
      <c r="C256">
        <v>38</v>
      </c>
      <c r="D256" t="s">
        <v>17</v>
      </c>
      <c r="E256" t="str">
        <f ca="1">IF(Table1[[#This Row],[is_smoker]]=0,"non-smoker","smoker")</f>
        <v>non-smoker</v>
      </c>
      <c r="F256" t="s">
        <v>14</v>
      </c>
      <c r="G256" s="2">
        <v>0.66666666666666596</v>
      </c>
      <c r="H256" s="2">
        <v>1842.92065253695</v>
      </c>
    </row>
    <row r="257" spans="1:8" x14ac:dyDescent="0.3">
      <c r="A257" t="s">
        <v>318</v>
      </c>
      <c r="B257" t="s">
        <v>13</v>
      </c>
      <c r="C257">
        <v>60</v>
      </c>
      <c r="D257" t="s">
        <v>17</v>
      </c>
      <c r="E257" t="str">
        <f ca="1">IF(Table1[[#This Row],[is_smoker]]=0,"non-smoker","smoker")</f>
        <v>non-smoker</v>
      </c>
      <c r="F257" t="s">
        <v>27</v>
      </c>
      <c r="G257" s="2">
        <v>0.53252032520325199</v>
      </c>
      <c r="H257" s="2">
        <v>1258.4822182175401</v>
      </c>
    </row>
    <row r="258" spans="1:8" x14ac:dyDescent="0.3">
      <c r="A258" t="s">
        <v>319</v>
      </c>
      <c r="B258" t="s">
        <v>201</v>
      </c>
      <c r="C258">
        <v>35</v>
      </c>
      <c r="D258" t="s">
        <v>17</v>
      </c>
      <c r="E258" t="str">
        <f ca="1">IF(Table1[[#This Row],[is_smoker]]=0,"non-smoker","smoker")</f>
        <v>non-smoker</v>
      </c>
      <c r="F258" t="s">
        <v>61</v>
      </c>
      <c r="G258" s="2">
        <v>1.61788617886178</v>
      </c>
      <c r="H258" s="2">
        <v>4569.0977783557</v>
      </c>
    </row>
    <row r="259" spans="1:8" x14ac:dyDescent="0.3">
      <c r="A259" t="s">
        <v>320</v>
      </c>
      <c r="B259" t="s">
        <v>166</v>
      </c>
      <c r="C259">
        <v>37</v>
      </c>
      <c r="D259" t="s">
        <v>17</v>
      </c>
      <c r="E259" t="str">
        <f ca="1">IF(Table1[[#This Row],[is_smoker]]=0,"non-smoker","smoker")</f>
        <v>non-smoker</v>
      </c>
      <c r="F259" t="s">
        <v>27</v>
      </c>
      <c r="G259" s="2">
        <v>0.53252032520325199</v>
      </c>
      <c r="H259" s="2">
        <v>1482.6169068545601</v>
      </c>
    </row>
    <row r="260" spans="1:8" x14ac:dyDescent="0.3">
      <c r="A260" t="s">
        <v>321</v>
      </c>
      <c r="B260" t="s">
        <v>13</v>
      </c>
      <c r="C260">
        <v>24</v>
      </c>
      <c r="D260" t="s">
        <v>17</v>
      </c>
      <c r="E260" t="str">
        <f ca="1">IF(Table1[[#This Row],[is_smoker]]=0,"non-smoker","smoker")</f>
        <v>non-smoker</v>
      </c>
      <c r="F260" t="s">
        <v>61</v>
      </c>
      <c r="G260" s="2">
        <v>1.61788617886178</v>
      </c>
      <c r="H260" s="2">
        <v>4941.6724153277801</v>
      </c>
    </row>
    <row r="261" spans="1:8" x14ac:dyDescent="0.3">
      <c r="A261" t="s">
        <v>322</v>
      </c>
      <c r="B261" t="s">
        <v>43</v>
      </c>
      <c r="C261">
        <v>59</v>
      </c>
      <c r="D261" t="s">
        <v>17</v>
      </c>
      <c r="E261" t="str">
        <f ca="1">IF(Table1[[#This Row],[is_smoker]]=0,"non-smoker","smoker")</f>
        <v>non-smoker</v>
      </c>
      <c r="F261" t="s">
        <v>48</v>
      </c>
      <c r="G261" s="2">
        <v>0.46341463414634099</v>
      </c>
      <c r="H261" s="2">
        <v>1102.9999757882999</v>
      </c>
    </row>
    <row r="262" spans="1:8" x14ac:dyDescent="0.3">
      <c r="A262" t="s">
        <v>323</v>
      </c>
      <c r="B262" t="s">
        <v>37</v>
      </c>
      <c r="C262">
        <v>46</v>
      </c>
      <c r="D262" t="s">
        <v>10</v>
      </c>
      <c r="E262" t="str">
        <f ca="1">IF(Table1[[#This Row],[is_smoker]]=0,"non-smoker","smoker")</f>
        <v>non-smoker</v>
      </c>
      <c r="F262" t="s">
        <v>48</v>
      </c>
      <c r="G262" s="2">
        <v>0.46341463414634099</v>
      </c>
      <c r="H262" s="2">
        <v>420.35412355251702</v>
      </c>
    </row>
    <row r="263" spans="1:8" x14ac:dyDescent="0.3">
      <c r="A263" t="s">
        <v>324</v>
      </c>
      <c r="B263" t="s">
        <v>29</v>
      </c>
      <c r="C263">
        <v>56</v>
      </c>
      <c r="D263" t="s">
        <v>17</v>
      </c>
      <c r="E263" t="str">
        <f ca="1">IF(Table1[[#This Row],[is_smoker]]=0,"non-smoker","smoker")</f>
        <v>non-smoker</v>
      </c>
      <c r="F263" t="s">
        <v>48</v>
      </c>
      <c r="G263" s="2">
        <v>0.46341463414634099</v>
      </c>
      <c r="H263" s="2">
        <v>1126.8343929863099</v>
      </c>
    </row>
    <row r="264" spans="1:8" x14ac:dyDescent="0.3">
      <c r="A264" t="s">
        <v>325</v>
      </c>
      <c r="B264" t="s">
        <v>29</v>
      </c>
      <c r="C264">
        <v>49</v>
      </c>
      <c r="D264" t="s">
        <v>17</v>
      </c>
      <c r="E264" t="str">
        <f ca="1">IF(Table1[[#This Row],[is_smoker]]=0,"non-smoker","smoker")</f>
        <v>non-smoker</v>
      </c>
      <c r="F264" t="s">
        <v>44</v>
      </c>
      <c r="G264" s="2">
        <v>1.1341463414634101</v>
      </c>
      <c r="H264" s="2">
        <v>2898.8349692960401</v>
      </c>
    </row>
    <row r="265" spans="1:8" x14ac:dyDescent="0.3">
      <c r="A265" t="s">
        <v>326</v>
      </c>
      <c r="B265" t="s">
        <v>245</v>
      </c>
      <c r="C265">
        <v>22</v>
      </c>
      <c r="D265" t="s">
        <v>17</v>
      </c>
      <c r="E265" t="str">
        <f ca="1">IF(Table1[[#This Row],[is_smoker]]=0,"non-smoker","smoker")</f>
        <v>non-smoker</v>
      </c>
      <c r="F265" t="s">
        <v>27</v>
      </c>
      <c r="G265" s="2">
        <v>0.53252032520325199</v>
      </c>
      <c r="H265" s="2">
        <v>1649.8782732386401</v>
      </c>
    </row>
    <row r="266" spans="1:8" x14ac:dyDescent="0.3">
      <c r="A266" t="s">
        <v>327</v>
      </c>
      <c r="B266" t="s">
        <v>50</v>
      </c>
      <c r="C266">
        <v>61</v>
      </c>
      <c r="D266" t="s">
        <v>10</v>
      </c>
      <c r="E266" t="str">
        <f ca="1">IF(Table1[[#This Row],[is_smoker]]=0,"non-smoker","smoker")</f>
        <v>non-smoker</v>
      </c>
      <c r="F266" t="s">
        <v>61</v>
      </c>
      <c r="G266" s="2">
        <v>1.61788617886178</v>
      </c>
      <c r="H266" s="2">
        <v>1318.7746111409699</v>
      </c>
    </row>
    <row r="267" spans="1:8" x14ac:dyDescent="0.3">
      <c r="A267" t="s">
        <v>328</v>
      </c>
      <c r="B267" t="s">
        <v>13</v>
      </c>
      <c r="C267">
        <v>56</v>
      </c>
      <c r="D267" t="s">
        <v>17</v>
      </c>
      <c r="E267" t="str">
        <f ca="1">IF(Table1[[#This Row],[is_smoker]]=0,"non-smoker","smoker")</f>
        <v>non-smoker</v>
      </c>
      <c r="F267" t="s">
        <v>14</v>
      </c>
      <c r="G267" s="2">
        <v>0.66666666666666596</v>
      </c>
      <c r="H267" s="2">
        <v>1621.0600039452199</v>
      </c>
    </row>
    <row r="268" spans="1:8" x14ac:dyDescent="0.3">
      <c r="A268" t="s">
        <v>329</v>
      </c>
      <c r="B268" t="s">
        <v>88</v>
      </c>
      <c r="C268">
        <v>28</v>
      </c>
      <c r="D268" t="s">
        <v>17</v>
      </c>
      <c r="E268" t="str">
        <f ca="1">IF(Table1[[#This Row],[is_smoker]]=0,"non-smoker","smoker")</f>
        <v>non-smoker</v>
      </c>
      <c r="F268" t="s">
        <v>56</v>
      </c>
      <c r="G268" s="2">
        <v>0.19512195121951201</v>
      </c>
      <c r="H268" s="2">
        <v>579.23215525711896</v>
      </c>
    </row>
    <row r="269" spans="1:8" x14ac:dyDescent="0.3">
      <c r="A269" t="s">
        <v>330</v>
      </c>
      <c r="B269" t="s">
        <v>50</v>
      </c>
      <c r="C269">
        <v>28</v>
      </c>
      <c r="D269" t="s">
        <v>17</v>
      </c>
      <c r="E269" t="str">
        <f ca="1">IF(Table1[[#This Row],[is_smoker]]=0,"non-smoker","smoker")</f>
        <v>non-smoker</v>
      </c>
      <c r="F269" t="s">
        <v>14</v>
      </c>
      <c r="G269" s="2">
        <v>0.66666666666666596</v>
      </c>
      <c r="H269" s="2">
        <v>1979.04319712849</v>
      </c>
    </row>
    <row r="270" spans="1:8" x14ac:dyDescent="0.3">
      <c r="A270" t="s">
        <v>331</v>
      </c>
      <c r="B270" t="s">
        <v>110</v>
      </c>
      <c r="C270">
        <v>36</v>
      </c>
      <c r="D270" t="s">
        <v>17</v>
      </c>
      <c r="E270" t="str">
        <f ca="1">IF(Table1[[#This Row],[is_smoker]]=0,"non-smoker","smoker")</f>
        <v>non-smoker</v>
      </c>
      <c r="F270" t="s">
        <v>56</v>
      </c>
      <c r="G270" s="2">
        <v>0.19512195121951201</v>
      </c>
      <c r="H270" s="2">
        <v>547.13406311900303</v>
      </c>
    </row>
    <row r="271" spans="1:8" x14ac:dyDescent="0.3">
      <c r="A271" t="s">
        <v>332</v>
      </c>
      <c r="B271" t="s">
        <v>50</v>
      </c>
      <c r="C271">
        <v>56</v>
      </c>
      <c r="D271" t="s">
        <v>10</v>
      </c>
      <c r="E271" t="str">
        <f ca="1">IF(Table1[[#This Row],[is_smoker]]=0,"non-smoker","smoker")</f>
        <v>non-smoker</v>
      </c>
      <c r="F271" t="s">
        <v>19</v>
      </c>
      <c r="G271" s="2">
        <v>1.11788617886178</v>
      </c>
      <c r="H271" s="2">
        <v>944.26635947842999</v>
      </c>
    </row>
    <row r="272" spans="1:8" x14ac:dyDescent="0.3">
      <c r="A272" t="s">
        <v>333</v>
      </c>
      <c r="B272" t="s">
        <v>43</v>
      </c>
      <c r="C272">
        <v>37</v>
      </c>
      <c r="D272" t="s">
        <v>17</v>
      </c>
      <c r="E272" t="str">
        <f ca="1">IF(Table1[[#This Row],[is_smoker]]=0,"non-smoker","smoker")</f>
        <v>non-smoker</v>
      </c>
      <c r="F272" t="s">
        <v>14</v>
      </c>
      <c r="G272" s="2">
        <v>0.66666666666666596</v>
      </c>
      <c r="H272" s="2">
        <v>1856.1005551461701</v>
      </c>
    </row>
    <row r="273" spans="1:8" x14ac:dyDescent="0.3">
      <c r="A273" t="s">
        <v>334</v>
      </c>
      <c r="B273" t="s">
        <v>16</v>
      </c>
      <c r="C273">
        <v>44</v>
      </c>
      <c r="D273" t="s">
        <v>10</v>
      </c>
      <c r="E273" t="str">
        <f ca="1">IF(Table1[[#This Row],[is_smoker]]=0,"non-smoker","smoker")</f>
        <v>non-smoker</v>
      </c>
      <c r="F273" t="s">
        <v>2004</v>
      </c>
      <c r="G273" s="2">
        <v>1.2073170731707299</v>
      </c>
      <c r="H273" s="2">
        <v>1110.85311558991</v>
      </c>
    </row>
    <row r="274" spans="1:8" x14ac:dyDescent="0.3">
      <c r="A274" t="s">
        <v>335</v>
      </c>
      <c r="B274" t="s">
        <v>43</v>
      </c>
      <c r="C274">
        <v>40</v>
      </c>
      <c r="D274" t="s">
        <v>10</v>
      </c>
      <c r="E274" t="str">
        <f ca="1">IF(Table1[[#This Row],[is_smoker]]=0,"non-smoker","smoker")</f>
        <v>non-smoker</v>
      </c>
      <c r="F274" t="s">
        <v>2004</v>
      </c>
      <c r="G274" s="2">
        <v>1.2073170731707299</v>
      </c>
      <c r="H274" s="2">
        <v>1142.97331793129</v>
      </c>
    </row>
    <row r="275" spans="1:8" x14ac:dyDescent="0.3">
      <c r="A275" t="s">
        <v>336</v>
      </c>
      <c r="B275" t="s">
        <v>85</v>
      </c>
      <c r="C275">
        <v>54</v>
      </c>
      <c r="D275" t="s">
        <v>10</v>
      </c>
      <c r="E275" t="str">
        <f ca="1">IF(Table1[[#This Row],[is_smoker]]=0,"non-smoker","smoker")</f>
        <v>non-smoker</v>
      </c>
      <c r="F275" t="s">
        <v>11</v>
      </c>
      <c r="G275" s="2">
        <v>1.1544715447154399</v>
      </c>
      <c r="H275" s="2">
        <v>989.167619679327</v>
      </c>
    </row>
    <row r="276" spans="1:8" x14ac:dyDescent="0.3">
      <c r="A276" t="s">
        <v>337</v>
      </c>
      <c r="B276" t="s">
        <v>85</v>
      </c>
      <c r="C276">
        <v>18</v>
      </c>
      <c r="D276" t="s">
        <v>17</v>
      </c>
      <c r="E276" t="str">
        <f ca="1">IF(Table1[[#This Row],[is_smoker]]=0,"non-smoker","smoker")</f>
        <v>smoker</v>
      </c>
      <c r="F276" t="s">
        <v>27</v>
      </c>
      <c r="G276" s="2">
        <v>0.53252032520325199</v>
      </c>
      <c r="H276" s="2">
        <v>1823.0516381324601</v>
      </c>
    </row>
    <row r="277" spans="1:8" x14ac:dyDescent="0.3">
      <c r="A277" t="s">
        <v>338</v>
      </c>
      <c r="B277" t="s">
        <v>113</v>
      </c>
      <c r="C277">
        <v>31</v>
      </c>
      <c r="D277" t="s">
        <v>17</v>
      </c>
      <c r="E277" t="str">
        <f ca="1">IF(Table1[[#This Row],[is_smoker]]=0,"non-smoker","smoker")</f>
        <v>non-smoker</v>
      </c>
      <c r="F277" t="s">
        <v>56</v>
      </c>
      <c r="G277" s="2">
        <v>0.19512195121951201</v>
      </c>
      <c r="H277" s="2">
        <v>566.98043403807299</v>
      </c>
    </row>
    <row r="278" spans="1:8" x14ac:dyDescent="0.3">
      <c r="A278" t="s">
        <v>339</v>
      </c>
      <c r="B278" t="s">
        <v>13</v>
      </c>
      <c r="C278">
        <v>63</v>
      </c>
      <c r="D278" t="s">
        <v>10</v>
      </c>
      <c r="E278" t="str">
        <f ca="1">IF(Table1[[#This Row],[is_smoker]]=0,"non-smoker","smoker")</f>
        <v>non-smoker</v>
      </c>
      <c r="F278" t="s">
        <v>56</v>
      </c>
      <c r="G278" s="2">
        <v>0.19512195121951201</v>
      </c>
      <c r="H278" s="2">
        <v>156.797457237896</v>
      </c>
    </row>
    <row r="279" spans="1:8" x14ac:dyDescent="0.3">
      <c r="A279" t="s">
        <v>340</v>
      </c>
      <c r="B279" t="s">
        <v>90</v>
      </c>
      <c r="C279">
        <v>44</v>
      </c>
      <c r="D279" t="s">
        <v>10</v>
      </c>
      <c r="E279" t="str">
        <f ca="1">IF(Table1[[#This Row],[is_smoker]]=0,"non-smoker","smoker")</f>
        <v>non-smoker</v>
      </c>
      <c r="F279" t="s">
        <v>27</v>
      </c>
      <c r="G279" s="2">
        <v>0.53252032520325199</v>
      </c>
      <c r="H279" s="2">
        <v>489.97224963730099</v>
      </c>
    </row>
    <row r="280" spans="1:8" x14ac:dyDescent="0.3">
      <c r="A280" t="s">
        <v>341</v>
      </c>
      <c r="B280" t="s">
        <v>245</v>
      </c>
      <c r="C280">
        <v>18</v>
      </c>
      <c r="D280" t="s">
        <v>17</v>
      </c>
      <c r="E280" t="str">
        <f ca="1">IF(Table1[[#This Row],[is_smoker]]=0,"non-smoker","smoker")</f>
        <v>non-smoker</v>
      </c>
      <c r="F280" t="s">
        <v>44</v>
      </c>
      <c r="G280" s="2">
        <v>1.1341463414634101</v>
      </c>
      <c r="H280" s="2">
        <v>3615.4658673270201</v>
      </c>
    </row>
    <row r="281" spans="1:8" x14ac:dyDescent="0.3">
      <c r="A281" t="s">
        <v>342</v>
      </c>
      <c r="B281" t="s">
        <v>82</v>
      </c>
      <c r="C281">
        <v>41</v>
      </c>
      <c r="D281" t="s">
        <v>17</v>
      </c>
      <c r="E281" t="str">
        <f ca="1">IF(Table1[[#This Row],[is_smoker]]=0,"non-smoker","smoker")</f>
        <v>non-smoker</v>
      </c>
      <c r="F281" t="s">
        <v>11</v>
      </c>
      <c r="G281" s="2">
        <v>1.1544715447154399</v>
      </c>
      <c r="H281" s="2">
        <v>3123.89579057848</v>
      </c>
    </row>
    <row r="282" spans="1:8" x14ac:dyDescent="0.3">
      <c r="A282" t="s">
        <v>343</v>
      </c>
      <c r="B282" t="s">
        <v>192</v>
      </c>
      <c r="C282">
        <v>52</v>
      </c>
      <c r="D282" t="s">
        <v>10</v>
      </c>
      <c r="E282" t="str">
        <f ca="1">IF(Table1[[#This Row],[is_smoker]]=0,"non-smoker","smoker")</f>
        <v>non-smoker</v>
      </c>
      <c r="F282" t="s">
        <v>44</v>
      </c>
      <c r="G282" s="2">
        <v>1.1341463414634101</v>
      </c>
      <c r="H282" s="2">
        <v>985.701646331848</v>
      </c>
    </row>
    <row r="283" spans="1:8" x14ac:dyDescent="0.3">
      <c r="A283" t="s">
        <v>344</v>
      </c>
      <c r="B283" t="s">
        <v>9</v>
      </c>
      <c r="C283">
        <v>36</v>
      </c>
      <c r="D283" t="s">
        <v>10</v>
      </c>
      <c r="E283" t="str">
        <f ca="1">IF(Table1[[#This Row],[is_smoker]]=0,"non-smoker","smoker")</f>
        <v>non-smoker</v>
      </c>
      <c r="F283" t="s">
        <v>44</v>
      </c>
      <c r="G283" s="2">
        <v>1.1341463414634101</v>
      </c>
      <c r="H283" s="2">
        <v>1104.7481954575301</v>
      </c>
    </row>
    <row r="284" spans="1:8" x14ac:dyDescent="0.3">
      <c r="A284" t="s">
        <v>345</v>
      </c>
      <c r="B284" t="s">
        <v>110</v>
      </c>
      <c r="C284">
        <v>29</v>
      </c>
      <c r="D284" t="s">
        <v>10</v>
      </c>
      <c r="E284" t="str">
        <f ca="1">IF(Table1[[#This Row],[is_smoker]]=0,"non-smoker","smoker")</f>
        <v>non-smoker</v>
      </c>
      <c r="F284" t="s">
        <v>44</v>
      </c>
      <c r="G284" s="2">
        <v>1.1341463414634101</v>
      </c>
      <c r="H284" s="2">
        <v>1161.2543306617799</v>
      </c>
    </row>
    <row r="285" spans="1:8" x14ac:dyDescent="0.3">
      <c r="A285" t="s">
        <v>346</v>
      </c>
      <c r="B285" t="s">
        <v>229</v>
      </c>
      <c r="C285">
        <v>46</v>
      </c>
      <c r="D285" t="s">
        <v>10</v>
      </c>
      <c r="E285" t="str">
        <f ca="1">IF(Table1[[#This Row],[is_smoker]]=0,"non-smoker","smoker")</f>
        <v>non-smoker</v>
      </c>
      <c r="F285" t="s">
        <v>27</v>
      </c>
      <c r="G285" s="2">
        <v>0.53252032520325199</v>
      </c>
      <c r="H285" s="2">
        <v>483.03851039806801</v>
      </c>
    </row>
    <row r="286" spans="1:8" x14ac:dyDescent="0.3">
      <c r="A286" t="s">
        <v>347</v>
      </c>
      <c r="B286" t="s">
        <v>175</v>
      </c>
      <c r="C286">
        <v>60</v>
      </c>
      <c r="D286" t="s">
        <v>17</v>
      </c>
      <c r="E286" t="str">
        <f ca="1">IF(Table1[[#This Row],[is_smoker]]=0,"non-smoker","smoker")</f>
        <v>non-smoker</v>
      </c>
      <c r="F286" t="s">
        <v>44</v>
      </c>
      <c r="G286" s="2">
        <v>1.1341463414634101</v>
      </c>
      <c r="H286" s="2">
        <v>2680.2789227686699</v>
      </c>
    </row>
    <row r="287" spans="1:8" x14ac:dyDescent="0.3">
      <c r="A287" s="1" t="s">
        <v>348</v>
      </c>
      <c r="B287" t="s">
        <v>13</v>
      </c>
      <c r="C287">
        <v>62</v>
      </c>
      <c r="D287" t="s">
        <v>10</v>
      </c>
      <c r="E287" t="str">
        <f ca="1">IF(Table1[[#This Row],[is_smoker]]=0,"non-smoker","smoker")</f>
        <v>non-smoker</v>
      </c>
      <c r="F287" t="s">
        <v>2004</v>
      </c>
      <c r="G287" s="2">
        <v>1.2073170731707299</v>
      </c>
      <c r="H287" s="2">
        <v>977.12267398047504</v>
      </c>
    </row>
    <row r="288" spans="1:8" x14ac:dyDescent="0.3">
      <c r="A288" t="s">
        <v>349</v>
      </c>
      <c r="B288" t="s">
        <v>43</v>
      </c>
      <c r="C288">
        <v>54</v>
      </c>
      <c r="D288" t="s">
        <v>17</v>
      </c>
      <c r="E288" t="str">
        <f ca="1">IF(Table1[[#This Row],[is_smoker]]=0,"non-smoker","smoker")</f>
        <v>non-smoker</v>
      </c>
      <c r="F288" t="s">
        <v>48</v>
      </c>
      <c r="G288" s="2">
        <v>0.46341463414634099</v>
      </c>
      <c r="H288" s="2">
        <v>1143.00945083072</v>
      </c>
    </row>
    <row r="289" spans="1:8" x14ac:dyDescent="0.3">
      <c r="A289" t="s">
        <v>350</v>
      </c>
      <c r="B289" t="s">
        <v>178</v>
      </c>
      <c r="C289">
        <v>29</v>
      </c>
      <c r="D289" t="s">
        <v>17</v>
      </c>
      <c r="E289" t="str">
        <f ca="1">IF(Table1[[#This Row],[is_smoker]]=0,"non-smoker","smoker")</f>
        <v>non-smoker</v>
      </c>
      <c r="F289" t="s">
        <v>19</v>
      </c>
      <c r="G289" s="2">
        <v>1.11788617886178</v>
      </c>
      <c r="H289" s="2">
        <v>3294.95324113685</v>
      </c>
    </row>
    <row r="290" spans="1:8" x14ac:dyDescent="0.3">
      <c r="A290" t="s">
        <v>351</v>
      </c>
      <c r="B290" t="s">
        <v>113</v>
      </c>
      <c r="C290">
        <v>22</v>
      </c>
      <c r="D290" t="s">
        <v>10</v>
      </c>
      <c r="E290" t="str">
        <f ca="1">IF(Table1[[#This Row],[is_smoker]]=0,"non-smoker","smoker")</f>
        <v>non-smoker</v>
      </c>
      <c r="F290" t="s">
        <v>56</v>
      </c>
      <c r="G290" s="2">
        <v>0.19512195121951201</v>
      </c>
      <c r="H290" s="2">
        <v>210.00441564551301</v>
      </c>
    </row>
    <row r="291" spans="1:8" x14ac:dyDescent="0.3">
      <c r="A291" s="1" t="s">
        <v>352</v>
      </c>
      <c r="B291" t="s">
        <v>43</v>
      </c>
      <c r="C291">
        <v>55</v>
      </c>
      <c r="D291" t="s">
        <v>17</v>
      </c>
      <c r="E291" t="str">
        <f ca="1">IF(Table1[[#This Row],[is_smoker]]=0,"non-smoker","smoker")</f>
        <v>non-smoker</v>
      </c>
      <c r="F291" t="s">
        <v>56</v>
      </c>
      <c r="G291" s="2">
        <v>0.19512195121951201</v>
      </c>
      <c r="H291" s="2">
        <v>477.84972859318401</v>
      </c>
    </row>
    <row r="292" spans="1:8" x14ac:dyDescent="0.3">
      <c r="A292" t="s">
        <v>353</v>
      </c>
      <c r="B292" t="s">
        <v>135</v>
      </c>
      <c r="C292">
        <v>34</v>
      </c>
      <c r="D292" t="s">
        <v>17</v>
      </c>
      <c r="E292" t="str">
        <f ca="1">IF(Table1[[#This Row],[is_smoker]]=0,"non-smoker","smoker")</f>
        <v>non-smoker</v>
      </c>
      <c r="F292" t="s">
        <v>19</v>
      </c>
      <c r="G292" s="2">
        <v>1.11788617886178</v>
      </c>
      <c r="H292" s="2">
        <v>3179.6179310294701</v>
      </c>
    </row>
    <row r="293" spans="1:8" x14ac:dyDescent="0.3">
      <c r="A293" t="s">
        <v>354</v>
      </c>
      <c r="B293" t="s">
        <v>60</v>
      </c>
      <c r="C293">
        <v>64</v>
      </c>
      <c r="D293" t="s">
        <v>17</v>
      </c>
      <c r="E293" t="str">
        <f ca="1">IF(Table1[[#This Row],[is_smoker]]=0,"non-smoker","smoker")</f>
        <v>non-smoker</v>
      </c>
      <c r="F293" t="s">
        <v>27</v>
      </c>
      <c r="G293" s="2">
        <v>0.53252032520325199</v>
      </c>
      <c r="H293" s="2">
        <v>1223.11594775609</v>
      </c>
    </row>
    <row r="294" spans="1:8" x14ac:dyDescent="0.3">
      <c r="A294" t="s">
        <v>355</v>
      </c>
      <c r="B294" t="s">
        <v>43</v>
      </c>
      <c r="C294">
        <v>32</v>
      </c>
      <c r="D294" t="s">
        <v>17</v>
      </c>
      <c r="E294" t="str">
        <f ca="1">IF(Table1[[#This Row],[is_smoker]]=0,"non-smoker","smoker")</f>
        <v>non-smoker</v>
      </c>
      <c r="F294" t="s">
        <v>14</v>
      </c>
      <c r="G294" s="2">
        <v>0.66666666666666596</v>
      </c>
      <c r="H294" s="2">
        <v>1923.4274912000701</v>
      </c>
    </row>
    <row r="295" spans="1:8" x14ac:dyDescent="0.3">
      <c r="A295" t="s">
        <v>356</v>
      </c>
      <c r="B295" t="s">
        <v>37</v>
      </c>
      <c r="C295">
        <v>47</v>
      </c>
      <c r="D295" t="s">
        <v>17</v>
      </c>
      <c r="E295" t="str">
        <f ca="1">IF(Table1[[#This Row],[is_smoker]]=0,"non-smoker","smoker")</f>
        <v>non-smoker</v>
      </c>
      <c r="F295" t="s">
        <v>27</v>
      </c>
      <c r="G295" s="2">
        <v>0.53252032520325199</v>
      </c>
      <c r="H295" s="2">
        <v>1380.6395542084299</v>
      </c>
    </row>
    <row r="296" spans="1:8" x14ac:dyDescent="0.3">
      <c r="A296" t="s">
        <v>357</v>
      </c>
      <c r="B296" t="s">
        <v>13</v>
      </c>
      <c r="C296">
        <v>47</v>
      </c>
      <c r="D296" t="s">
        <v>10</v>
      </c>
      <c r="E296" t="str">
        <f ca="1">IF(Table1[[#This Row],[is_smoker]]=0,"non-smoker","smoker")</f>
        <v>non-smoker</v>
      </c>
      <c r="F296" t="s">
        <v>56</v>
      </c>
      <c r="G296" s="2">
        <v>0.19512195121951201</v>
      </c>
      <c r="H296" s="2">
        <v>175.73442083668601</v>
      </c>
    </row>
    <row r="297" spans="1:8" x14ac:dyDescent="0.3">
      <c r="A297" t="s">
        <v>358</v>
      </c>
      <c r="B297" t="s">
        <v>50</v>
      </c>
      <c r="C297">
        <v>37</v>
      </c>
      <c r="D297" t="s">
        <v>10</v>
      </c>
      <c r="E297" t="str">
        <f ca="1">IF(Table1[[#This Row],[is_smoker]]=0,"non-smoker","smoker")</f>
        <v>non-smoker</v>
      </c>
      <c r="F297" t="s">
        <v>56</v>
      </c>
      <c r="G297" s="2">
        <v>0.19512195121951201</v>
      </c>
      <c r="H297" s="2">
        <v>188.71458713070399</v>
      </c>
    </row>
    <row r="298" spans="1:8" x14ac:dyDescent="0.3">
      <c r="A298" t="s">
        <v>359</v>
      </c>
      <c r="B298" t="s">
        <v>29</v>
      </c>
      <c r="C298">
        <v>23</v>
      </c>
      <c r="D298" t="s">
        <v>17</v>
      </c>
      <c r="E298" t="str">
        <f ca="1">IF(Table1[[#This Row],[is_smoker]]=0,"non-smoker","smoker")</f>
        <v>non-smoker</v>
      </c>
      <c r="F298" t="s">
        <v>19</v>
      </c>
      <c r="G298" s="2">
        <v>1.11788617886178</v>
      </c>
      <c r="H298" s="2">
        <v>3438.8912173169701</v>
      </c>
    </row>
    <row r="299" spans="1:8" x14ac:dyDescent="0.3">
      <c r="A299" s="1" t="s">
        <v>360</v>
      </c>
      <c r="B299" t="s">
        <v>113</v>
      </c>
      <c r="C299">
        <v>38</v>
      </c>
      <c r="D299" t="s">
        <v>10</v>
      </c>
      <c r="E299" t="str">
        <f ca="1">IF(Table1[[#This Row],[is_smoker]]=0,"non-smoker","smoker")</f>
        <v>non-smoker</v>
      </c>
      <c r="F299" t="s">
        <v>44</v>
      </c>
      <c r="G299" s="2">
        <v>1.1341463414634101</v>
      </c>
      <c r="H299" s="2">
        <v>1089.1145837213801</v>
      </c>
    </row>
    <row r="300" spans="1:8" x14ac:dyDescent="0.3">
      <c r="A300" t="s">
        <v>361</v>
      </c>
      <c r="B300" t="s">
        <v>135</v>
      </c>
      <c r="C300">
        <v>54</v>
      </c>
      <c r="D300" t="s">
        <v>17</v>
      </c>
      <c r="E300" t="str">
        <f ca="1">IF(Table1[[#This Row],[is_smoker]]=0,"non-smoker","smoker")</f>
        <v>non-smoker</v>
      </c>
      <c r="F300" t="s">
        <v>27</v>
      </c>
      <c r="G300" s="2">
        <v>0.53252032520325199</v>
      </c>
      <c r="H300" s="2">
        <v>1313.45822858618</v>
      </c>
    </row>
    <row r="301" spans="1:8" x14ac:dyDescent="0.3">
      <c r="A301" t="s">
        <v>362</v>
      </c>
      <c r="B301" t="s">
        <v>43</v>
      </c>
      <c r="C301">
        <v>49</v>
      </c>
      <c r="D301" t="s">
        <v>10</v>
      </c>
      <c r="E301" t="str">
        <f ca="1">IF(Table1[[#This Row],[is_smoker]]=0,"non-smoker","smoker")</f>
        <v>non-smoker</v>
      </c>
      <c r="F301" t="s">
        <v>61</v>
      </c>
      <c r="G301" s="2">
        <v>1.61788617886178</v>
      </c>
      <c r="H301" s="2">
        <v>1436.5109531680801</v>
      </c>
    </row>
    <row r="302" spans="1:8" x14ac:dyDescent="0.3">
      <c r="A302" t="s">
        <v>363</v>
      </c>
      <c r="B302" t="s">
        <v>16</v>
      </c>
      <c r="C302">
        <v>21</v>
      </c>
      <c r="D302" t="s">
        <v>10</v>
      </c>
      <c r="E302" t="str">
        <f ca="1">IF(Table1[[#This Row],[is_smoker]]=0,"non-smoker","smoker")</f>
        <v>non-smoker</v>
      </c>
      <c r="F302" t="s">
        <v>19</v>
      </c>
      <c r="G302" s="2">
        <v>1.11788617886178</v>
      </c>
      <c r="H302" s="2">
        <v>1211.75479416899</v>
      </c>
    </row>
    <row r="303" spans="1:8" x14ac:dyDescent="0.3">
      <c r="A303" t="s">
        <v>364</v>
      </c>
      <c r="B303" t="s">
        <v>243</v>
      </c>
      <c r="C303">
        <v>48</v>
      </c>
      <c r="D303" t="s">
        <v>10</v>
      </c>
      <c r="E303" t="str">
        <f ca="1">IF(Table1[[#This Row],[is_smoker]]=0,"non-smoker","smoker")</f>
        <v>non-smoker</v>
      </c>
      <c r="F303" t="s">
        <v>2004</v>
      </c>
      <c r="G303" s="2">
        <v>1.2073170731707299</v>
      </c>
      <c r="H303" s="2">
        <v>1079.6355654647</v>
      </c>
    </row>
    <row r="304" spans="1:8" x14ac:dyDescent="0.3">
      <c r="A304" t="s">
        <v>365</v>
      </c>
      <c r="B304" t="s">
        <v>60</v>
      </c>
      <c r="C304">
        <v>51</v>
      </c>
      <c r="D304" t="s">
        <v>17</v>
      </c>
      <c r="E304" t="str">
        <f ca="1">IF(Table1[[#This Row],[is_smoker]]=0,"non-smoker","smoker")</f>
        <v>non-smoker</v>
      </c>
      <c r="F304" t="s">
        <v>56</v>
      </c>
      <c r="G304" s="2">
        <v>0.19512195121951201</v>
      </c>
      <c r="H304" s="2">
        <v>491.66670381320398</v>
      </c>
    </row>
    <row r="305" spans="1:8" x14ac:dyDescent="0.3">
      <c r="A305" t="s">
        <v>366</v>
      </c>
      <c r="B305" t="s">
        <v>50</v>
      </c>
      <c r="C305">
        <v>64</v>
      </c>
      <c r="D305" t="s">
        <v>10</v>
      </c>
      <c r="E305" t="str">
        <f ca="1">IF(Table1[[#This Row],[is_smoker]]=0,"non-smoker","smoker")</f>
        <v>non-smoker</v>
      </c>
      <c r="F305" t="s">
        <v>19</v>
      </c>
      <c r="G305" s="2">
        <v>1.11788617886178</v>
      </c>
      <c r="H305" s="2">
        <v>891.93993330478497</v>
      </c>
    </row>
    <row r="306" spans="1:8" x14ac:dyDescent="0.3">
      <c r="A306" t="s">
        <v>367</v>
      </c>
      <c r="B306" t="s">
        <v>16</v>
      </c>
      <c r="C306">
        <v>28</v>
      </c>
      <c r="D306" t="s">
        <v>17</v>
      </c>
      <c r="E306" t="str">
        <f ca="1">IF(Table1[[#This Row],[is_smoker]]=0,"non-smoker","smoker")</f>
        <v>non-smoker</v>
      </c>
      <c r="F306" t="s">
        <v>27</v>
      </c>
      <c r="G306" s="2">
        <v>0.53252032520325199</v>
      </c>
      <c r="H306" s="2">
        <v>1580.82109038922</v>
      </c>
    </row>
    <row r="307" spans="1:8" x14ac:dyDescent="0.3">
      <c r="A307" t="s">
        <v>368</v>
      </c>
      <c r="B307" t="s">
        <v>106</v>
      </c>
      <c r="C307">
        <v>25</v>
      </c>
      <c r="D307" t="s">
        <v>10</v>
      </c>
      <c r="E307" t="str">
        <f ca="1">IF(Table1[[#This Row],[is_smoker]]=0,"non-smoker","smoker")</f>
        <v>non-smoker</v>
      </c>
      <c r="F307" t="s">
        <v>56</v>
      </c>
      <c r="G307" s="2">
        <v>0.19512195121951201</v>
      </c>
      <c r="H307" s="2">
        <v>205.562473788685</v>
      </c>
    </row>
    <row r="308" spans="1:8" x14ac:dyDescent="0.3">
      <c r="A308" t="s">
        <v>369</v>
      </c>
      <c r="B308" t="s">
        <v>50</v>
      </c>
      <c r="C308">
        <v>18</v>
      </c>
      <c r="D308" t="s">
        <v>17</v>
      </c>
      <c r="E308" t="str">
        <f ca="1">IF(Table1[[#This Row],[is_smoker]]=0,"non-smoker","smoker")</f>
        <v>non-smoker</v>
      </c>
      <c r="F308" t="s">
        <v>14</v>
      </c>
      <c r="G308" s="2">
        <v>0.66666666666666596</v>
      </c>
      <c r="H308" s="2">
        <v>2125.2200797191099</v>
      </c>
    </row>
    <row r="309" spans="1:8" x14ac:dyDescent="0.3">
      <c r="A309" t="s">
        <v>370</v>
      </c>
      <c r="B309" t="s">
        <v>13</v>
      </c>
      <c r="C309">
        <v>63</v>
      </c>
      <c r="D309" t="s">
        <v>17</v>
      </c>
      <c r="E309" t="str">
        <f ca="1">IF(Table1[[#This Row],[is_smoker]]=0,"non-smoker","smoker")</f>
        <v>non-smoker</v>
      </c>
      <c r="F309" t="s">
        <v>19</v>
      </c>
      <c r="G309" s="2">
        <v>1.11788617886178</v>
      </c>
      <c r="H309" s="2">
        <v>2585.9724316337001</v>
      </c>
    </row>
    <row r="310" spans="1:8" x14ac:dyDescent="0.3">
      <c r="A310" t="s">
        <v>371</v>
      </c>
      <c r="B310" t="s">
        <v>82</v>
      </c>
      <c r="C310">
        <v>31</v>
      </c>
      <c r="D310" t="s">
        <v>10</v>
      </c>
      <c r="E310" t="str">
        <f ca="1">IF(Table1[[#This Row],[is_smoker]]=0,"non-smoker","smoker")</f>
        <v>non-smoker</v>
      </c>
      <c r="F310" t="s">
        <v>11</v>
      </c>
      <c r="G310" s="2">
        <v>1.1544715447154399</v>
      </c>
      <c r="H310" s="2">
        <v>1165.3375911236999</v>
      </c>
    </row>
    <row r="311" spans="1:8" x14ac:dyDescent="0.3">
      <c r="A311" t="s">
        <v>372</v>
      </c>
      <c r="B311" t="s">
        <v>29</v>
      </c>
      <c r="C311">
        <v>30</v>
      </c>
      <c r="D311" t="s">
        <v>17</v>
      </c>
      <c r="E311" t="str">
        <f ca="1">IF(Table1[[#This Row],[is_smoker]]=0,"non-smoker","smoker")</f>
        <v>non-smoker</v>
      </c>
      <c r="F311" t="s">
        <v>56</v>
      </c>
      <c r="G311" s="2">
        <v>0.19512195121951201</v>
      </c>
      <c r="H311" s="2">
        <v>571.03527323674996</v>
      </c>
    </row>
    <row r="312" spans="1:8" x14ac:dyDescent="0.3">
      <c r="A312" t="s">
        <v>373</v>
      </c>
      <c r="B312" t="s">
        <v>110</v>
      </c>
      <c r="C312">
        <v>65</v>
      </c>
      <c r="D312" t="s">
        <v>17</v>
      </c>
      <c r="E312" t="str">
        <f ca="1">IF(Table1[[#This Row],[is_smoker]]=0,"non-smoker","smoker")</f>
        <v>non-smoker</v>
      </c>
      <c r="F312" t="s">
        <v>27</v>
      </c>
      <c r="G312" s="2">
        <v>0.53252032520325199</v>
      </c>
      <c r="H312" s="2">
        <v>1214.4307776415101</v>
      </c>
    </row>
    <row r="313" spans="1:8" x14ac:dyDescent="0.3">
      <c r="A313" t="s">
        <v>374</v>
      </c>
      <c r="B313" t="s">
        <v>60</v>
      </c>
      <c r="C313">
        <v>52</v>
      </c>
      <c r="D313" t="s">
        <v>17</v>
      </c>
      <c r="E313" t="str">
        <f ca="1">IF(Table1[[#This Row],[is_smoker]]=0,"non-smoker","smoker")</f>
        <v>non-smoker</v>
      </c>
      <c r="F313" t="s">
        <v>48</v>
      </c>
      <c r="G313" s="2">
        <v>0.46341463414634099</v>
      </c>
      <c r="H313" s="2">
        <v>1159.41669230203</v>
      </c>
    </row>
    <row r="314" spans="1:8" x14ac:dyDescent="0.3">
      <c r="A314" t="s">
        <v>375</v>
      </c>
      <c r="B314" t="s">
        <v>113</v>
      </c>
      <c r="C314">
        <v>37</v>
      </c>
      <c r="D314" t="s">
        <v>17</v>
      </c>
      <c r="E314" t="str">
        <f ca="1">IF(Table1[[#This Row],[is_smoker]]=0,"non-smoker","smoker")</f>
        <v>non-smoker</v>
      </c>
      <c r="F314" t="s">
        <v>61</v>
      </c>
      <c r="G314" s="2">
        <v>1.61788617886178</v>
      </c>
      <c r="H314" s="2">
        <v>4504.43915212302</v>
      </c>
    </row>
    <row r="315" spans="1:8" x14ac:dyDescent="0.3">
      <c r="A315" t="s">
        <v>376</v>
      </c>
      <c r="B315" t="s">
        <v>43</v>
      </c>
      <c r="C315">
        <v>61</v>
      </c>
      <c r="D315" t="s">
        <v>17</v>
      </c>
      <c r="E315" t="str">
        <f ca="1">IF(Table1[[#This Row],[is_smoker]]=0,"non-smoker","smoker")</f>
        <v>non-smoker</v>
      </c>
      <c r="F315" t="s">
        <v>24</v>
      </c>
      <c r="G315" s="2">
        <v>1.70325203252032</v>
      </c>
      <c r="H315" s="2">
        <v>3996.63923170818</v>
      </c>
    </row>
    <row r="316" spans="1:8" x14ac:dyDescent="0.3">
      <c r="A316" t="s">
        <v>377</v>
      </c>
      <c r="B316" t="s">
        <v>31</v>
      </c>
      <c r="C316">
        <v>45</v>
      </c>
      <c r="D316" t="s">
        <v>10</v>
      </c>
      <c r="E316" t="str">
        <f ca="1">IF(Table1[[#This Row],[is_smoker]]=0,"non-smoker","smoker")</f>
        <v>non-smoker</v>
      </c>
      <c r="F316" t="s">
        <v>44</v>
      </c>
      <c r="G316" s="2">
        <v>1.1341463414634101</v>
      </c>
      <c r="H316" s="2">
        <v>1036.1187375094501</v>
      </c>
    </row>
    <row r="317" spans="1:8" x14ac:dyDescent="0.3">
      <c r="A317" t="s">
        <v>378</v>
      </c>
      <c r="B317" t="s">
        <v>113</v>
      </c>
      <c r="C317">
        <v>18</v>
      </c>
      <c r="D317" t="s">
        <v>10</v>
      </c>
      <c r="E317" t="str">
        <f ca="1">IF(Table1[[#This Row],[is_smoker]]=0,"non-smoker","smoker")</f>
        <v>non-smoker</v>
      </c>
      <c r="F317" t="s">
        <v>24</v>
      </c>
      <c r="G317" s="2">
        <v>1.70325203252032</v>
      </c>
      <c r="H317" s="2">
        <v>1886.16927821173</v>
      </c>
    </row>
    <row r="318" spans="1:8" x14ac:dyDescent="0.3">
      <c r="A318" t="s">
        <v>379</v>
      </c>
      <c r="B318" t="s">
        <v>63</v>
      </c>
      <c r="C318">
        <v>34</v>
      </c>
      <c r="D318" t="s">
        <v>17</v>
      </c>
      <c r="E318" t="str">
        <f ca="1">IF(Table1[[#This Row],[is_smoker]]=0,"non-smoker","smoker")</f>
        <v>non-smoker</v>
      </c>
      <c r="F318" t="s">
        <v>27</v>
      </c>
      <c r="G318" s="2">
        <v>0.53252032520325199</v>
      </c>
      <c r="H318" s="2">
        <v>1514.6543598722201</v>
      </c>
    </row>
    <row r="319" spans="1:8" x14ac:dyDescent="0.3">
      <c r="A319" t="s">
        <v>380</v>
      </c>
      <c r="B319" t="s">
        <v>13</v>
      </c>
      <c r="C319">
        <v>37</v>
      </c>
      <c r="D319" t="s">
        <v>10</v>
      </c>
      <c r="E319" t="str">
        <f ca="1">IF(Table1[[#This Row],[is_smoker]]=0,"non-smoker","smoker")</f>
        <v>non-smoker</v>
      </c>
      <c r="F319" t="s">
        <v>2004</v>
      </c>
      <c r="G319" s="2">
        <v>1.2073170731707299</v>
      </c>
      <c r="H319" s="2">
        <v>1167.67150787123</v>
      </c>
    </row>
    <row r="320" spans="1:8" x14ac:dyDescent="0.3">
      <c r="A320" t="s">
        <v>381</v>
      </c>
      <c r="B320" t="s">
        <v>29</v>
      </c>
      <c r="C320">
        <v>62</v>
      </c>
      <c r="D320" t="s">
        <v>17</v>
      </c>
      <c r="E320" t="str">
        <f ca="1">IF(Table1[[#This Row],[is_smoker]]=0,"non-smoker","smoker")</f>
        <v>non-smoker</v>
      </c>
      <c r="F320" t="s">
        <v>2004</v>
      </c>
      <c r="G320" s="2">
        <v>1.2073170731707299</v>
      </c>
      <c r="H320" s="2">
        <v>2812.8236818486298</v>
      </c>
    </row>
    <row r="321" spans="1:8" x14ac:dyDescent="0.3">
      <c r="A321" t="s">
        <v>382</v>
      </c>
      <c r="B321" t="s">
        <v>383</v>
      </c>
      <c r="C321">
        <v>54</v>
      </c>
      <c r="D321" t="s">
        <v>17</v>
      </c>
      <c r="E321" t="str">
        <f ca="1">IF(Table1[[#This Row],[is_smoker]]=0,"non-smoker","smoker")</f>
        <v>non-smoker</v>
      </c>
      <c r="F321" t="s">
        <v>48</v>
      </c>
      <c r="G321" s="2">
        <v>0.46341463414634099</v>
      </c>
      <c r="H321" s="2">
        <v>1143.00945083072</v>
      </c>
    </row>
    <row r="322" spans="1:8" x14ac:dyDescent="0.3">
      <c r="A322" t="s">
        <v>384</v>
      </c>
      <c r="B322" t="s">
        <v>113</v>
      </c>
      <c r="C322">
        <v>19</v>
      </c>
      <c r="D322" t="s">
        <v>17</v>
      </c>
      <c r="E322" t="str">
        <f ca="1">IF(Table1[[#This Row],[is_smoker]]=0,"non-smoker","smoker")</f>
        <v>non-smoker</v>
      </c>
      <c r="F322" t="s">
        <v>44</v>
      </c>
      <c r="G322" s="2">
        <v>1.1341463414634101</v>
      </c>
      <c r="H322" s="2">
        <v>3589.7929651309501</v>
      </c>
    </row>
    <row r="323" spans="1:8" x14ac:dyDescent="0.3">
      <c r="A323" t="s">
        <v>385</v>
      </c>
      <c r="B323" t="s">
        <v>50</v>
      </c>
      <c r="C323">
        <v>40</v>
      </c>
      <c r="D323" t="s">
        <v>10</v>
      </c>
      <c r="E323" t="str">
        <f ca="1">IF(Table1[[#This Row],[is_smoker]]=0,"non-smoker","smoker")</f>
        <v>non-smoker</v>
      </c>
      <c r="F323" t="s">
        <v>11</v>
      </c>
      <c r="G323" s="2">
        <v>1.1544715447154399</v>
      </c>
      <c r="H323" s="2">
        <v>1092.9441828029801</v>
      </c>
    </row>
    <row r="324" spans="1:8" x14ac:dyDescent="0.3">
      <c r="A324" t="s">
        <v>386</v>
      </c>
      <c r="B324" t="s">
        <v>13</v>
      </c>
      <c r="C324">
        <v>26</v>
      </c>
      <c r="D324" t="s">
        <v>10</v>
      </c>
      <c r="E324" t="str">
        <f ca="1">IF(Table1[[#This Row],[is_smoker]]=0,"non-smoker","smoker")</f>
        <v>non-smoker</v>
      </c>
      <c r="F324" t="s">
        <v>48</v>
      </c>
      <c r="G324" s="2">
        <v>0.46341463414634099</v>
      </c>
      <c r="H324" s="2">
        <v>484.74416016596501</v>
      </c>
    </row>
    <row r="325" spans="1:8" x14ac:dyDescent="0.3">
      <c r="A325" t="s">
        <v>387</v>
      </c>
      <c r="B325" t="s">
        <v>31</v>
      </c>
      <c r="C325">
        <v>21</v>
      </c>
      <c r="D325" t="s">
        <v>10</v>
      </c>
      <c r="E325" t="str">
        <f ca="1">IF(Table1[[#This Row],[is_smoker]]=0,"non-smoker","smoker")</f>
        <v>non-smoker</v>
      </c>
      <c r="F325" t="s">
        <v>24</v>
      </c>
      <c r="G325" s="2">
        <v>1.70325203252032</v>
      </c>
      <c r="H325" s="2">
        <v>1846.2736682065799</v>
      </c>
    </row>
    <row r="326" spans="1:8" x14ac:dyDescent="0.3">
      <c r="A326" t="s">
        <v>388</v>
      </c>
      <c r="B326" t="s">
        <v>16</v>
      </c>
      <c r="C326">
        <v>44</v>
      </c>
      <c r="D326" t="s">
        <v>17</v>
      </c>
      <c r="E326" t="str">
        <f ca="1">IF(Table1[[#This Row],[is_smoker]]=0,"non-smoker","smoker")</f>
        <v>non-smoker</v>
      </c>
      <c r="F326" t="s">
        <v>48</v>
      </c>
      <c r="G326" s="2">
        <v>0.46341463414634099</v>
      </c>
      <c r="H326" s="2">
        <v>1227.4348734473001</v>
      </c>
    </row>
    <row r="327" spans="1:8" x14ac:dyDescent="0.3">
      <c r="A327" t="s">
        <v>389</v>
      </c>
      <c r="B327" t="s">
        <v>43</v>
      </c>
      <c r="C327">
        <v>63</v>
      </c>
      <c r="D327" t="s">
        <v>17</v>
      </c>
      <c r="E327" t="str">
        <f ca="1">IF(Table1[[#This Row],[is_smoker]]=0,"non-smoker","smoker")</f>
        <v>non-smoker</v>
      </c>
      <c r="F327" t="s">
        <v>24</v>
      </c>
      <c r="G327" s="2">
        <v>1.70325203252032</v>
      </c>
      <c r="H327" s="2">
        <v>3940.0816321982702</v>
      </c>
    </row>
    <row r="328" spans="1:8" x14ac:dyDescent="0.3">
      <c r="A328" t="s">
        <v>390</v>
      </c>
      <c r="B328" t="s">
        <v>110</v>
      </c>
      <c r="C328">
        <v>63</v>
      </c>
      <c r="D328" t="s">
        <v>10</v>
      </c>
      <c r="E328" t="str">
        <f ca="1">IF(Table1[[#This Row],[is_smoker]]=0,"non-smoker","smoker")</f>
        <v>non-smoker</v>
      </c>
      <c r="F328" t="s">
        <v>56</v>
      </c>
      <c r="G328" s="2">
        <v>0.19512195121951201</v>
      </c>
      <c r="H328" s="2">
        <v>156.797457237896</v>
      </c>
    </row>
    <row r="329" spans="1:8" x14ac:dyDescent="0.3">
      <c r="A329" t="s">
        <v>391</v>
      </c>
      <c r="B329" t="s">
        <v>46</v>
      </c>
      <c r="C329">
        <v>58</v>
      </c>
      <c r="D329" t="s">
        <v>10</v>
      </c>
      <c r="E329" t="str">
        <f ca="1">IF(Table1[[#This Row],[is_smoker]]=0,"non-smoker","smoker")</f>
        <v>non-smoker</v>
      </c>
      <c r="F329" t="s">
        <v>2004</v>
      </c>
      <c r="G329" s="2">
        <v>1.2073170731707299</v>
      </c>
      <c r="H329" s="2">
        <v>1005.37607450673</v>
      </c>
    </row>
    <row r="330" spans="1:8" x14ac:dyDescent="0.3">
      <c r="A330" t="s">
        <v>392</v>
      </c>
      <c r="B330" t="s">
        <v>13</v>
      </c>
      <c r="C330">
        <v>30</v>
      </c>
      <c r="D330" t="s">
        <v>17</v>
      </c>
      <c r="E330" t="str">
        <f ca="1">IF(Table1[[#This Row],[is_smoker]]=0,"non-smoker","smoker")</f>
        <v>non-smoker</v>
      </c>
      <c r="F330" t="s">
        <v>56</v>
      </c>
      <c r="G330" s="2">
        <v>0.19512195121951201</v>
      </c>
      <c r="H330" s="2">
        <v>571.03527323674996</v>
      </c>
    </row>
    <row r="331" spans="1:8" x14ac:dyDescent="0.3">
      <c r="A331" t="s">
        <v>393</v>
      </c>
      <c r="B331" t="s">
        <v>16</v>
      </c>
      <c r="C331">
        <v>63</v>
      </c>
      <c r="D331" t="s">
        <v>17</v>
      </c>
      <c r="E331" t="str">
        <f ca="1">IF(Table1[[#This Row],[is_smoker]]=0,"non-smoker","smoker")</f>
        <v>non-smoker</v>
      </c>
      <c r="F331" t="s">
        <v>61</v>
      </c>
      <c r="G331" s="2">
        <v>1.61788617886178</v>
      </c>
      <c r="H331" s="2">
        <v>3742.6073737826</v>
      </c>
    </row>
    <row r="332" spans="1:8" x14ac:dyDescent="0.3">
      <c r="A332" t="s">
        <v>394</v>
      </c>
      <c r="B332" t="s">
        <v>29</v>
      </c>
      <c r="C332">
        <v>55</v>
      </c>
      <c r="D332" t="s">
        <v>17</v>
      </c>
      <c r="E332" t="str">
        <f ca="1">IF(Table1[[#This Row],[is_smoker]]=0,"non-smoker","smoker")</f>
        <v>non-smoker</v>
      </c>
      <c r="F332" t="s">
        <v>44</v>
      </c>
      <c r="G332" s="2">
        <v>1.1341463414634101</v>
      </c>
      <c r="H332" s="2">
        <v>2777.5015474478801</v>
      </c>
    </row>
    <row r="333" spans="1:8" x14ac:dyDescent="0.3">
      <c r="A333" s="1" t="s">
        <v>395</v>
      </c>
      <c r="B333" t="s">
        <v>178</v>
      </c>
      <c r="C333">
        <v>50</v>
      </c>
      <c r="D333" t="s">
        <v>17</v>
      </c>
      <c r="E333" t="str">
        <f ca="1">IF(Table1[[#This Row],[is_smoker]]=0,"non-smoker","smoker")</f>
        <v>non-smoker</v>
      </c>
      <c r="F333" t="s">
        <v>11</v>
      </c>
      <c r="G333" s="2">
        <v>1.1544715447154399</v>
      </c>
      <c r="H333" s="2">
        <v>2929.8323146885</v>
      </c>
    </row>
    <row r="334" spans="1:8" x14ac:dyDescent="0.3">
      <c r="A334" s="1" t="s">
        <v>396</v>
      </c>
      <c r="B334" t="s">
        <v>23</v>
      </c>
      <c r="C334">
        <v>27</v>
      </c>
      <c r="D334" t="s">
        <v>17</v>
      </c>
      <c r="E334" t="str">
        <f ca="1">IF(Table1[[#This Row],[is_smoker]]=0,"non-smoker","smoker")</f>
        <v>non-smoker</v>
      </c>
      <c r="F334" t="s">
        <v>24</v>
      </c>
      <c r="G334" s="2">
        <v>1.70325203252032</v>
      </c>
      <c r="H334" s="2">
        <v>5092.3742376681503</v>
      </c>
    </row>
    <row r="335" spans="1:8" x14ac:dyDescent="0.3">
      <c r="A335" s="1" t="s">
        <v>397</v>
      </c>
      <c r="B335" t="s">
        <v>13</v>
      </c>
      <c r="C335">
        <v>33</v>
      </c>
      <c r="D335" t="s">
        <v>10</v>
      </c>
      <c r="E335" t="str">
        <f ca="1">IF(Table1[[#This Row],[is_smoker]]=0,"non-smoker","smoker")</f>
        <v>non-smoker</v>
      </c>
      <c r="F335" t="s">
        <v>11</v>
      </c>
      <c r="G335" s="2">
        <v>1.1544715447154399</v>
      </c>
      <c r="H335" s="2">
        <v>1148.8465612980101</v>
      </c>
    </row>
    <row r="336" spans="1:8" x14ac:dyDescent="0.3">
      <c r="A336" s="1" t="s">
        <v>398</v>
      </c>
      <c r="B336" t="s">
        <v>175</v>
      </c>
      <c r="C336">
        <v>29</v>
      </c>
      <c r="D336" t="s">
        <v>10</v>
      </c>
      <c r="E336" t="str">
        <f ca="1">IF(Table1[[#This Row],[is_smoker]]=0,"non-smoker","smoker")</f>
        <v>non-smoker</v>
      </c>
      <c r="F336" t="s">
        <v>24</v>
      </c>
      <c r="G336" s="2">
        <v>1.70325203252032</v>
      </c>
      <c r="H336" s="2">
        <v>1743.96259694368</v>
      </c>
    </row>
    <row r="337" spans="1:8" x14ac:dyDescent="0.3">
      <c r="A337" t="s">
        <v>399</v>
      </c>
      <c r="B337" t="s">
        <v>157</v>
      </c>
      <c r="C337">
        <v>32</v>
      </c>
      <c r="D337" t="s">
        <v>17</v>
      </c>
      <c r="E337" t="str">
        <f ca="1">IF(Table1[[#This Row],[is_smoker]]=0,"non-smoker","smoker")</f>
        <v>non-smoker</v>
      </c>
      <c r="F337" t="s">
        <v>27</v>
      </c>
      <c r="G337" s="2">
        <v>0.53252032520325199</v>
      </c>
      <c r="H337" s="2">
        <v>1536.3963496781</v>
      </c>
    </row>
    <row r="338" spans="1:8" x14ac:dyDescent="0.3">
      <c r="A338" s="1" t="s">
        <v>400</v>
      </c>
      <c r="B338" t="s">
        <v>60</v>
      </c>
      <c r="C338">
        <v>54</v>
      </c>
      <c r="D338" t="s">
        <v>10</v>
      </c>
      <c r="E338" t="str">
        <f ca="1">IF(Table1[[#This Row],[is_smoker]]=0,"non-smoker","smoker")</f>
        <v>non-smoker</v>
      </c>
      <c r="F338" t="s">
        <v>48</v>
      </c>
      <c r="G338" s="2">
        <v>0.46341463414634099</v>
      </c>
      <c r="H338" s="2">
        <v>397.06024170226499</v>
      </c>
    </row>
    <row r="339" spans="1:8" x14ac:dyDescent="0.3">
      <c r="A339" t="s">
        <v>401</v>
      </c>
      <c r="B339" t="s">
        <v>110</v>
      </c>
      <c r="C339">
        <v>31</v>
      </c>
      <c r="D339" t="s">
        <v>17</v>
      </c>
      <c r="E339" t="str">
        <f ca="1">IF(Table1[[#This Row],[is_smoker]]=0,"non-smoker","smoker")</f>
        <v>non-smoker</v>
      </c>
      <c r="F339" t="s">
        <v>61</v>
      </c>
      <c r="G339" s="2">
        <v>1.61788617886178</v>
      </c>
      <c r="H339" s="2">
        <v>4701.2127655656896</v>
      </c>
    </row>
    <row r="340" spans="1:8" x14ac:dyDescent="0.3">
      <c r="A340" t="s">
        <v>402</v>
      </c>
      <c r="B340" t="s">
        <v>243</v>
      </c>
      <c r="C340">
        <v>26</v>
      </c>
      <c r="D340" t="s">
        <v>10</v>
      </c>
      <c r="E340" t="str">
        <f ca="1">IF(Table1[[#This Row],[is_smoker]]=0,"non-smoker","smoker")</f>
        <v>non-smoker</v>
      </c>
      <c r="F340" t="s">
        <v>2004</v>
      </c>
      <c r="G340" s="2">
        <v>1.2073170731707299</v>
      </c>
      <c r="H340" s="2">
        <v>1262.8861014850099</v>
      </c>
    </row>
    <row r="341" spans="1:8" x14ac:dyDescent="0.3">
      <c r="A341" t="s">
        <v>403</v>
      </c>
      <c r="B341" t="s">
        <v>13</v>
      </c>
      <c r="C341">
        <v>59</v>
      </c>
      <c r="D341" t="s">
        <v>17</v>
      </c>
      <c r="E341" t="str">
        <f ca="1">IF(Table1[[#This Row],[is_smoker]]=0,"non-smoker","smoker")</f>
        <v>non-smoker</v>
      </c>
      <c r="F341" t="s">
        <v>24</v>
      </c>
      <c r="G341" s="2">
        <v>1.70325203252032</v>
      </c>
      <c r="H341" s="2">
        <v>4054.0086829412098</v>
      </c>
    </row>
    <row r="342" spans="1:8" x14ac:dyDescent="0.3">
      <c r="A342" t="s">
        <v>404</v>
      </c>
      <c r="B342" t="s">
        <v>16</v>
      </c>
      <c r="C342">
        <v>57</v>
      </c>
      <c r="D342" t="s">
        <v>10</v>
      </c>
      <c r="E342" t="str">
        <f ca="1">IF(Table1[[#This Row],[is_smoker]]=0,"non-smoker","smoker")</f>
        <v>non-smoker</v>
      </c>
      <c r="F342" t="s">
        <v>11</v>
      </c>
      <c r="G342" s="2">
        <v>1.1544715447154399</v>
      </c>
      <c r="H342" s="2">
        <v>968.24508317090499</v>
      </c>
    </row>
    <row r="343" spans="1:8" x14ac:dyDescent="0.3">
      <c r="A343" t="s">
        <v>405</v>
      </c>
      <c r="B343" t="s">
        <v>50</v>
      </c>
      <c r="C343">
        <v>38</v>
      </c>
      <c r="D343" t="s">
        <v>17</v>
      </c>
      <c r="E343" t="str">
        <f ca="1">IF(Table1[[#This Row],[is_smoker]]=0,"non-smoker","smoker")</f>
        <v>non-smoker</v>
      </c>
      <c r="F343" t="s">
        <v>61</v>
      </c>
      <c r="G343" s="2">
        <v>1.61788617886178</v>
      </c>
      <c r="H343" s="2">
        <v>4472.4537787177196</v>
      </c>
    </row>
    <row r="344" spans="1:8" x14ac:dyDescent="0.3">
      <c r="A344" t="s">
        <v>406</v>
      </c>
      <c r="B344" t="s">
        <v>35</v>
      </c>
      <c r="C344">
        <v>50</v>
      </c>
      <c r="D344" t="s">
        <v>10</v>
      </c>
      <c r="E344" t="str">
        <f ca="1">IF(Table1[[#This Row],[is_smoker]]=0,"non-smoker","smoker")</f>
        <v>non-smoker</v>
      </c>
      <c r="F344" t="s">
        <v>14</v>
      </c>
      <c r="G344" s="2">
        <v>0.66666666666666596</v>
      </c>
      <c r="H344" s="2">
        <v>587.72593297019898</v>
      </c>
    </row>
    <row r="345" spans="1:8" x14ac:dyDescent="0.3">
      <c r="A345" t="s">
        <v>407</v>
      </c>
      <c r="B345" t="s">
        <v>408</v>
      </c>
      <c r="C345">
        <v>28</v>
      </c>
      <c r="D345" t="s">
        <v>17</v>
      </c>
      <c r="E345" t="str">
        <f ca="1">IF(Table1[[#This Row],[is_smoker]]=0,"non-smoker","smoker")</f>
        <v>non-smoker</v>
      </c>
      <c r="F345" t="s">
        <v>14</v>
      </c>
      <c r="G345" s="2">
        <v>0.66666666666666596</v>
      </c>
      <c r="H345" s="2">
        <v>1979.04319712849</v>
      </c>
    </row>
    <row r="346" spans="1:8" x14ac:dyDescent="0.3">
      <c r="A346" t="s">
        <v>409</v>
      </c>
      <c r="B346" t="s">
        <v>33</v>
      </c>
      <c r="C346">
        <v>18</v>
      </c>
      <c r="D346" t="s">
        <v>17</v>
      </c>
      <c r="E346" t="str">
        <f ca="1">IF(Table1[[#This Row],[is_smoker]]=0,"non-smoker","smoker")</f>
        <v>smoker</v>
      </c>
      <c r="F346" t="s">
        <v>56</v>
      </c>
      <c r="G346" s="2">
        <v>0.19512195121951201</v>
      </c>
      <c r="H346" s="2">
        <v>667.98838649128595</v>
      </c>
    </row>
    <row r="347" spans="1:8" x14ac:dyDescent="0.3">
      <c r="A347" t="s">
        <v>410</v>
      </c>
      <c r="B347" t="s">
        <v>13</v>
      </c>
      <c r="C347">
        <v>18</v>
      </c>
      <c r="D347" t="s">
        <v>17</v>
      </c>
      <c r="E347" t="str">
        <f ca="1">IF(Table1[[#This Row],[is_smoker]]=0,"non-smoker","smoker")</f>
        <v>non-smoker</v>
      </c>
      <c r="F347" t="s">
        <v>2004</v>
      </c>
      <c r="G347" s="2">
        <v>1.2073170731707299</v>
      </c>
      <c r="H347" s="2">
        <v>3848.7217297352099</v>
      </c>
    </row>
    <row r="348" spans="1:8" x14ac:dyDescent="0.3">
      <c r="A348" t="s">
        <v>411</v>
      </c>
      <c r="B348" t="s">
        <v>16</v>
      </c>
      <c r="C348">
        <v>64</v>
      </c>
      <c r="D348" t="s">
        <v>10</v>
      </c>
      <c r="E348" t="str">
        <f ca="1">IF(Table1[[#This Row],[is_smoker]]=0,"non-smoker","smoker")</f>
        <v>non-smoker</v>
      </c>
      <c r="F348" t="s">
        <v>27</v>
      </c>
      <c r="G348" s="2">
        <v>0.53252032520325199</v>
      </c>
      <c r="H348" s="2">
        <v>424.88775004700699</v>
      </c>
    </row>
    <row r="349" spans="1:8" x14ac:dyDescent="0.3">
      <c r="A349" t="s">
        <v>412</v>
      </c>
      <c r="B349" t="s">
        <v>113</v>
      </c>
      <c r="C349">
        <v>64</v>
      </c>
      <c r="D349" t="s">
        <v>17</v>
      </c>
      <c r="E349" t="str">
        <f ca="1">IF(Table1[[#This Row],[is_smoker]]=0,"non-smoker","smoker")</f>
        <v>non-smoker</v>
      </c>
      <c r="F349" t="s">
        <v>11</v>
      </c>
      <c r="G349" s="2">
        <v>1.1544715447154399</v>
      </c>
      <c r="H349" s="2">
        <v>2651.6406806315399</v>
      </c>
    </row>
    <row r="350" spans="1:8" x14ac:dyDescent="0.3">
      <c r="A350" t="s">
        <v>413</v>
      </c>
      <c r="B350" t="s">
        <v>60</v>
      </c>
      <c r="C350">
        <v>29</v>
      </c>
      <c r="D350" t="s">
        <v>10</v>
      </c>
      <c r="E350" t="str">
        <f ca="1">IF(Table1[[#This Row],[is_smoker]]=0,"non-smoker","smoker")</f>
        <v>non-smoker</v>
      </c>
      <c r="F350" t="s">
        <v>48</v>
      </c>
      <c r="G350" s="2">
        <v>0.46341463414634099</v>
      </c>
      <c r="H350" s="2">
        <v>474.49101682954603</v>
      </c>
    </row>
    <row r="351" spans="1:8" x14ac:dyDescent="0.3">
      <c r="A351" t="s">
        <v>414</v>
      </c>
      <c r="B351" t="s">
        <v>13</v>
      </c>
      <c r="C351">
        <v>42</v>
      </c>
      <c r="D351" t="s">
        <v>17</v>
      </c>
      <c r="E351" t="str">
        <f ca="1">IF(Table1[[#This Row],[is_smoker]]=0,"non-smoker","smoker")</f>
        <v>non-smoker</v>
      </c>
      <c r="F351" t="s">
        <v>48</v>
      </c>
      <c r="G351" s="2">
        <v>0.46341463414634099</v>
      </c>
      <c r="H351" s="2">
        <v>1245.05399317052</v>
      </c>
    </row>
    <row r="352" spans="1:8" x14ac:dyDescent="0.3">
      <c r="A352" t="s">
        <v>415</v>
      </c>
      <c r="B352" t="s">
        <v>113</v>
      </c>
      <c r="C352">
        <v>33</v>
      </c>
      <c r="D352" t="s">
        <v>10</v>
      </c>
      <c r="E352" t="str">
        <f ca="1">IF(Table1[[#This Row],[is_smoker]]=0,"non-smoker","smoker")</f>
        <v>non-smoker</v>
      </c>
      <c r="F352" t="s">
        <v>11</v>
      </c>
      <c r="G352" s="2">
        <v>1.1544715447154399</v>
      </c>
      <c r="H352" s="2">
        <v>1148.8465612980101</v>
      </c>
    </row>
    <row r="353" spans="1:8" x14ac:dyDescent="0.3">
      <c r="A353" t="s">
        <v>416</v>
      </c>
      <c r="B353" t="s">
        <v>50</v>
      </c>
      <c r="C353">
        <v>36</v>
      </c>
      <c r="D353" t="s">
        <v>10</v>
      </c>
      <c r="E353" t="str">
        <f ca="1">IF(Table1[[#This Row],[is_smoker]]=0,"non-smoker","smoker")</f>
        <v>non-smoker</v>
      </c>
      <c r="F353" t="s">
        <v>44</v>
      </c>
      <c r="G353" s="2">
        <v>1.1341463414634101</v>
      </c>
      <c r="H353" s="2">
        <v>1104.7481954575301</v>
      </c>
    </row>
    <row r="354" spans="1:8" x14ac:dyDescent="0.3">
      <c r="A354" t="s">
        <v>417</v>
      </c>
      <c r="B354" t="s">
        <v>46</v>
      </c>
      <c r="C354">
        <v>55</v>
      </c>
      <c r="D354" t="s">
        <v>17</v>
      </c>
      <c r="E354" t="str">
        <f ca="1">IF(Table1[[#This Row],[is_smoker]]=0,"non-smoker","smoker")</f>
        <v>non-smoker</v>
      </c>
      <c r="F354" t="s">
        <v>27</v>
      </c>
      <c r="G354" s="2">
        <v>0.53252032520325199</v>
      </c>
      <c r="H354" s="2">
        <v>1304.1315509522301</v>
      </c>
    </row>
    <row r="355" spans="1:8" x14ac:dyDescent="0.3">
      <c r="A355" t="s">
        <v>418</v>
      </c>
      <c r="B355" t="s">
        <v>50</v>
      </c>
      <c r="C355">
        <v>30</v>
      </c>
      <c r="D355" t="s">
        <v>17</v>
      </c>
      <c r="E355" t="str">
        <f ca="1">IF(Table1[[#This Row],[is_smoker]]=0,"non-smoker","smoker")</f>
        <v>non-smoker</v>
      </c>
      <c r="F355" t="s">
        <v>61</v>
      </c>
      <c r="G355" s="2">
        <v>1.61788617886178</v>
      </c>
      <c r="H355" s="2">
        <v>4734.8341405880501</v>
      </c>
    </row>
    <row r="356" spans="1:8" x14ac:dyDescent="0.3">
      <c r="A356" t="s">
        <v>419</v>
      </c>
      <c r="B356" t="s">
        <v>46</v>
      </c>
      <c r="C356">
        <v>50</v>
      </c>
      <c r="D356" t="s">
        <v>10</v>
      </c>
      <c r="E356" t="str">
        <f ca="1">IF(Table1[[#This Row],[is_smoker]]=0,"non-smoker","smoker")</f>
        <v>non-smoker</v>
      </c>
      <c r="F356" t="s">
        <v>24</v>
      </c>
      <c r="G356" s="2">
        <v>1.70325203252032</v>
      </c>
      <c r="H356" s="2">
        <v>1501.56808484459</v>
      </c>
    </row>
    <row r="357" spans="1:8" x14ac:dyDescent="0.3">
      <c r="A357" t="s">
        <v>420</v>
      </c>
      <c r="B357" t="s">
        <v>46</v>
      </c>
      <c r="C357">
        <v>19</v>
      </c>
      <c r="D357" t="s">
        <v>17</v>
      </c>
      <c r="E357" t="str">
        <f ca="1">IF(Table1[[#This Row],[is_smoker]]=0,"non-smoker","smoker")</f>
        <v>non-smoker</v>
      </c>
      <c r="F357" t="s">
        <v>44</v>
      </c>
      <c r="G357" s="2">
        <v>1.1341463414634101</v>
      </c>
      <c r="H357" s="2">
        <v>3589.7929651309501</v>
      </c>
    </row>
    <row r="358" spans="1:8" x14ac:dyDescent="0.3">
      <c r="A358" t="s">
        <v>421</v>
      </c>
      <c r="B358" t="s">
        <v>13</v>
      </c>
      <c r="C358">
        <v>36</v>
      </c>
      <c r="D358" t="s">
        <v>10</v>
      </c>
      <c r="E358" t="str">
        <f ca="1">IF(Table1[[#This Row],[is_smoker]]=0,"non-smoker","smoker")</f>
        <v>non-smoker</v>
      </c>
      <c r="F358" t="s">
        <v>24</v>
      </c>
      <c r="G358" s="2">
        <v>1.70325203252032</v>
      </c>
      <c r="H358" s="2">
        <v>1659.10212866202</v>
      </c>
    </row>
    <row r="359" spans="1:8" x14ac:dyDescent="0.3">
      <c r="A359" t="s">
        <v>422</v>
      </c>
      <c r="B359" t="s">
        <v>46</v>
      </c>
      <c r="C359">
        <v>24</v>
      </c>
      <c r="D359" t="s">
        <v>17</v>
      </c>
      <c r="E359" t="str">
        <f ca="1">IF(Table1[[#This Row],[is_smoker]]=0,"non-smoker","smoker")</f>
        <v>non-smoker</v>
      </c>
      <c r="F359" t="s">
        <v>24</v>
      </c>
      <c r="G359" s="2">
        <v>1.70325203252032</v>
      </c>
      <c r="H359" s="2">
        <v>5202.4139246792402</v>
      </c>
    </row>
    <row r="360" spans="1:8" x14ac:dyDescent="0.3">
      <c r="A360" t="s">
        <v>423</v>
      </c>
      <c r="B360" t="s">
        <v>35</v>
      </c>
      <c r="C360">
        <v>28</v>
      </c>
      <c r="D360" t="s">
        <v>10</v>
      </c>
      <c r="E360" t="str">
        <f ca="1">IF(Table1[[#This Row],[is_smoker]]=0,"non-smoker","smoker")</f>
        <v>non-smoker</v>
      </c>
      <c r="F360" t="s">
        <v>44</v>
      </c>
      <c r="G360" s="2">
        <v>1.1341463414634101</v>
      </c>
      <c r="H360" s="2">
        <v>1169.55920204167</v>
      </c>
    </row>
    <row r="361" spans="1:8" x14ac:dyDescent="0.3">
      <c r="A361" t="s">
        <v>424</v>
      </c>
      <c r="B361" t="s">
        <v>85</v>
      </c>
      <c r="C361">
        <v>43</v>
      </c>
      <c r="D361" t="s">
        <v>17</v>
      </c>
      <c r="E361" t="str">
        <f ca="1">IF(Table1[[#This Row],[is_smoker]]=0,"non-smoker","smoker")</f>
        <v>non-smoker</v>
      </c>
      <c r="F361" t="s">
        <v>56</v>
      </c>
      <c r="G361" s="2">
        <v>0.19512195121951201</v>
      </c>
      <c r="H361" s="2">
        <v>520.510755434256</v>
      </c>
    </row>
    <row r="362" spans="1:8" x14ac:dyDescent="0.3">
      <c r="A362" t="s">
        <v>425</v>
      </c>
      <c r="B362" t="s">
        <v>13</v>
      </c>
      <c r="C362">
        <v>60</v>
      </c>
      <c r="D362" t="s">
        <v>17</v>
      </c>
      <c r="E362" t="str">
        <f ca="1">IF(Table1[[#This Row],[is_smoker]]=0,"non-smoker","smoker")</f>
        <v>non-smoker</v>
      </c>
      <c r="F362" t="s">
        <v>14</v>
      </c>
      <c r="G362" s="2">
        <v>0.66666666666666596</v>
      </c>
      <c r="H362" s="2">
        <v>1575.50445639448</v>
      </c>
    </row>
    <row r="363" spans="1:8" x14ac:dyDescent="0.3">
      <c r="A363" t="s">
        <v>426</v>
      </c>
      <c r="B363" t="s">
        <v>16</v>
      </c>
      <c r="C363">
        <v>63</v>
      </c>
      <c r="D363" t="s">
        <v>10</v>
      </c>
      <c r="E363" t="str">
        <f ca="1">IF(Table1[[#This Row],[is_smoker]]=0,"non-smoker","smoker")</f>
        <v>non-smoker</v>
      </c>
      <c r="F363" t="s">
        <v>24</v>
      </c>
      <c r="G363" s="2">
        <v>1.70325203252032</v>
      </c>
      <c r="H363" s="2">
        <v>1368.71113713913</v>
      </c>
    </row>
    <row r="364" spans="1:8" x14ac:dyDescent="0.3">
      <c r="A364" t="s">
        <v>427</v>
      </c>
      <c r="B364" t="s">
        <v>78</v>
      </c>
      <c r="C364">
        <v>63</v>
      </c>
      <c r="D364" t="s">
        <v>17</v>
      </c>
      <c r="E364" t="str">
        <f ca="1">IF(Table1[[#This Row],[is_smoker]]=0,"non-smoker","smoker")</f>
        <v>non-smoker</v>
      </c>
      <c r="F364" t="s">
        <v>44</v>
      </c>
      <c r="G364" s="2">
        <v>1.1341463414634101</v>
      </c>
      <c r="H364" s="2">
        <v>2623.58657609383</v>
      </c>
    </row>
    <row r="365" spans="1:8" x14ac:dyDescent="0.3">
      <c r="A365" t="s">
        <v>428</v>
      </c>
      <c r="B365" t="s">
        <v>128</v>
      </c>
      <c r="C365">
        <v>27</v>
      </c>
      <c r="D365" t="s">
        <v>17</v>
      </c>
      <c r="E365" t="str">
        <f ca="1">IF(Table1[[#This Row],[is_smoker]]=0,"non-smoker","smoker")</f>
        <v>non-smoker</v>
      </c>
      <c r="F365" t="s">
        <v>44</v>
      </c>
      <c r="G365" s="2">
        <v>1.1341463414634101</v>
      </c>
      <c r="H365" s="2">
        <v>3390.8649458458499</v>
      </c>
    </row>
    <row r="366" spans="1:8" x14ac:dyDescent="0.3">
      <c r="A366" t="s">
        <v>429</v>
      </c>
      <c r="B366" t="s">
        <v>175</v>
      </c>
      <c r="C366">
        <v>35</v>
      </c>
      <c r="D366" t="s">
        <v>10</v>
      </c>
      <c r="E366" t="str">
        <f ca="1">IF(Table1[[#This Row],[is_smoker]]=0,"non-smoker","smoker")</f>
        <v>non-smoker</v>
      </c>
      <c r="F366" t="s">
        <v>19</v>
      </c>
      <c r="G366" s="2">
        <v>1.11788617886178</v>
      </c>
      <c r="H366" s="2">
        <v>1096.69699902618</v>
      </c>
    </row>
    <row r="367" spans="1:8" x14ac:dyDescent="0.3">
      <c r="A367" t="s">
        <v>430</v>
      </c>
      <c r="B367" t="s">
        <v>35</v>
      </c>
      <c r="C367">
        <v>49</v>
      </c>
      <c r="D367" t="s">
        <v>17</v>
      </c>
      <c r="E367" t="str">
        <f ca="1">IF(Table1[[#This Row],[is_smoker]]=0,"non-smoker","smoker")</f>
        <v>non-smoker</v>
      </c>
      <c r="F367" t="s">
        <v>56</v>
      </c>
      <c r="G367" s="2">
        <v>0.19512195121951201</v>
      </c>
      <c r="H367" s="2">
        <v>498.72429579286802</v>
      </c>
    </row>
    <row r="368" spans="1:8" x14ac:dyDescent="0.3">
      <c r="A368" t="s">
        <v>431</v>
      </c>
      <c r="B368" t="s">
        <v>229</v>
      </c>
      <c r="C368">
        <v>30</v>
      </c>
      <c r="D368" t="s">
        <v>10</v>
      </c>
      <c r="E368" t="str">
        <f ca="1">IF(Table1[[#This Row],[is_smoker]]=0,"non-smoker","smoker")</f>
        <v>non-smoker</v>
      </c>
      <c r="F368" t="s">
        <v>2004</v>
      </c>
      <c r="G368" s="2">
        <v>1.2073170731707299</v>
      </c>
      <c r="H368" s="2">
        <v>1227.39607168516</v>
      </c>
    </row>
    <row r="369" spans="1:8" x14ac:dyDescent="0.3">
      <c r="A369" t="s">
        <v>432</v>
      </c>
      <c r="B369" t="s">
        <v>50</v>
      </c>
      <c r="C369">
        <v>56</v>
      </c>
      <c r="D369" t="s">
        <v>17</v>
      </c>
      <c r="E369" t="str">
        <f ca="1">IF(Table1[[#This Row],[is_smoker]]=0,"non-smoker","smoker")</f>
        <v>non-smoker</v>
      </c>
      <c r="F369" t="s">
        <v>19</v>
      </c>
      <c r="G369" s="2">
        <v>1.11788617886178</v>
      </c>
      <c r="H369" s="2">
        <v>2718.2408602740002</v>
      </c>
    </row>
    <row r="370" spans="1:8" x14ac:dyDescent="0.3">
      <c r="A370" t="s">
        <v>433</v>
      </c>
      <c r="B370" t="s">
        <v>60</v>
      </c>
      <c r="C370">
        <v>28</v>
      </c>
      <c r="D370" t="s">
        <v>17</v>
      </c>
      <c r="E370" t="str">
        <f ca="1">IF(Table1[[#This Row],[is_smoker]]=0,"non-smoker","smoker")</f>
        <v>non-smoker</v>
      </c>
      <c r="F370" t="s">
        <v>19</v>
      </c>
      <c r="G370" s="2">
        <v>1.11788617886178</v>
      </c>
      <c r="H370" s="2">
        <v>3318.5175561605802</v>
      </c>
    </row>
    <row r="371" spans="1:8" x14ac:dyDescent="0.3">
      <c r="A371" t="s">
        <v>434</v>
      </c>
      <c r="B371" t="s">
        <v>166</v>
      </c>
      <c r="C371">
        <v>37</v>
      </c>
      <c r="D371" t="s">
        <v>10</v>
      </c>
      <c r="E371" t="str">
        <f ca="1">IF(Table1[[#This Row],[is_smoker]]=0,"non-smoker","smoker")</f>
        <v>non-smoker</v>
      </c>
      <c r="F371" t="s">
        <v>11</v>
      </c>
      <c r="G371" s="2">
        <v>1.1544715447154399</v>
      </c>
      <c r="H371" s="2">
        <v>1116.56130719</v>
      </c>
    </row>
    <row r="372" spans="1:8" x14ac:dyDescent="0.3">
      <c r="A372" s="1" t="s">
        <v>435</v>
      </c>
      <c r="B372" t="s">
        <v>265</v>
      </c>
      <c r="C372">
        <v>60</v>
      </c>
      <c r="D372" t="s">
        <v>10</v>
      </c>
      <c r="E372" t="str">
        <f ca="1">IF(Table1[[#This Row],[is_smoker]]=0,"non-smoker","smoker")</f>
        <v>non-smoker</v>
      </c>
      <c r="F372" t="s">
        <v>14</v>
      </c>
      <c r="G372" s="2">
        <v>0.66666666666666596</v>
      </c>
      <c r="H372" s="2">
        <v>547.30096921275106</v>
      </c>
    </row>
    <row r="373" spans="1:8" x14ac:dyDescent="0.3">
      <c r="A373" t="s">
        <v>436</v>
      </c>
      <c r="B373" t="s">
        <v>243</v>
      </c>
      <c r="C373">
        <v>29</v>
      </c>
      <c r="D373" t="s">
        <v>10</v>
      </c>
      <c r="E373" t="str">
        <f ca="1">IF(Table1[[#This Row],[is_smoker]]=0,"non-smoker","smoker")</f>
        <v>non-smoker</v>
      </c>
      <c r="F373" t="s">
        <v>44</v>
      </c>
      <c r="G373" s="2">
        <v>1.1341463414634101</v>
      </c>
      <c r="H373" s="2">
        <v>1161.2543306617799</v>
      </c>
    </row>
    <row r="374" spans="1:8" x14ac:dyDescent="0.3">
      <c r="A374" t="s">
        <v>437</v>
      </c>
      <c r="B374" t="s">
        <v>60</v>
      </c>
      <c r="C374">
        <v>40</v>
      </c>
      <c r="D374" t="s">
        <v>10</v>
      </c>
      <c r="E374" t="str">
        <f ca="1">IF(Table1[[#This Row],[is_smoker]]=0,"non-smoker","smoker")</f>
        <v>non-smoker</v>
      </c>
      <c r="F374" t="s">
        <v>14</v>
      </c>
      <c r="G374" s="2">
        <v>0.66666666666666596</v>
      </c>
      <c r="H374" s="2">
        <v>631.13678161862697</v>
      </c>
    </row>
    <row r="375" spans="1:8" x14ac:dyDescent="0.3">
      <c r="A375" t="s">
        <v>438</v>
      </c>
      <c r="B375" t="s">
        <v>21</v>
      </c>
      <c r="C375">
        <v>39</v>
      </c>
      <c r="D375" t="s">
        <v>10</v>
      </c>
      <c r="E375" t="str">
        <f ca="1">IF(Table1[[#This Row],[is_smoker]]=0,"non-smoker","smoker")</f>
        <v>non-smoker</v>
      </c>
      <c r="F375" t="s">
        <v>27</v>
      </c>
      <c r="G375" s="2">
        <v>0.53252032520325199</v>
      </c>
      <c r="H375" s="2">
        <v>507.74517159891201</v>
      </c>
    </row>
    <row r="376" spans="1:8" x14ac:dyDescent="0.3">
      <c r="A376" t="s">
        <v>439</v>
      </c>
      <c r="B376" t="s">
        <v>46</v>
      </c>
      <c r="C376">
        <v>50</v>
      </c>
      <c r="D376" t="s">
        <v>17</v>
      </c>
      <c r="E376" t="str">
        <f ca="1">IF(Table1[[#This Row],[is_smoker]]=0,"non-smoker","smoker")</f>
        <v>non-smoker</v>
      </c>
      <c r="F376" t="s">
        <v>11</v>
      </c>
      <c r="G376" s="2">
        <v>1.1544715447154399</v>
      </c>
      <c r="H376" s="2">
        <v>2929.8323146885</v>
      </c>
    </row>
    <row r="377" spans="1:8" x14ac:dyDescent="0.3">
      <c r="A377" t="s">
        <v>440</v>
      </c>
      <c r="B377" t="s">
        <v>166</v>
      </c>
      <c r="C377">
        <v>25</v>
      </c>
      <c r="D377" t="s">
        <v>10</v>
      </c>
      <c r="E377" t="str">
        <f ca="1">IF(Table1[[#This Row],[is_smoker]]=0,"non-smoker","smoker")</f>
        <v>non-smoker</v>
      </c>
      <c r="F377" t="s">
        <v>2004</v>
      </c>
      <c r="G377" s="2">
        <v>1.2073170731707299</v>
      </c>
      <c r="H377" s="2">
        <v>1271.9178065674901</v>
      </c>
    </row>
    <row r="378" spans="1:8" x14ac:dyDescent="0.3">
      <c r="A378" t="s">
        <v>441</v>
      </c>
      <c r="B378" t="s">
        <v>60</v>
      </c>
      <c r="C378">
        <v>42</v>
      </c>
      <c r="D378" t="s">
        <v>10</v>
      </c>
      <c r="E378" t="str">
        <f ca="1">IF(Table1[[#This Row],[is_smoker]]=0,"non-smoker","smoker")</f>
        <v>non-smoker</v>
      </c>
      <c r="F378" t="s">
        <v>14</v>
      </c>
      <c r="G378" s="2">
        <v>0.66666666666666596</v>
      </c>
      <c r="H378" s="2">
        <v>622.20538219493994</v>
      </c>
    </row>
    <row r="379" spans="1:8" x14ac:dyDescent="0.3">
      <c r="A379" t="s">
        <v>442</v>
      </c>
      <c r="B379" t="s">
        <v>37</v>
      </c>
      <c r="C379">
        <v>38</v>
      </c>
      <c r="D379" t="s">
        <v>17</v>
      </c>
      <c r="E379" t="str">
        <f ca="1">IF(Table1[[#This Row],[is_smoker]]=0,"non-smoker","smoker")</f>
        <v>non-smoker</v>
      </c>
      <c r="F379" t="s">
        <v>48</v>
      </c>
      <c r="G379" s="2">
        <v>0.46341463414634099</v>
      </c>
      <c r="H379" s="2">
        <v>1281.0545999342201</v>
      </c>
    </row>
    <row r="380" spans="1:8" x14ac:dyDescent="0.3">
      <c r="A380" t="s">
        <v>443</v>
      </c>
      <c r="B380" t="s">
        <v>65</v>
      </c>
      <c r="C380">
        <v>63</v>
      </c>
      <c r="D380" t="s">
        <v>10</v>
      </c>
      <c r="E380" t="str">
        <f ca="1">IF(Table1[[#This Row],[is_smoker]]=0,"non-smoker","smoker")</f>
        <v>non-smoker</v>
      </c>
      <c r="F380" t="s">
        <v>24</v>
      </c>
      <c r="G380" s="2">
        <v>1.70325203252032</v>
      </c>
      <c r="H380" s="2">
        <v>1368.71113713913</v>
      </c>
    </row>
    <row r="381" spans="1:8" x14ac:dyDescent="0.3">
      <c r="A381" t="s">
        <v>444</v>
      </c>
      <c r="B381" t="s">
        <v>60</v>
      </c>
      <c r="C381">
        <v>33</v>
      </c>
      <c r="D381" t="s">
        <v>17</v>
      </c>
      <c r="E381" t="str">
        <f ca="1">IF(Table1[[#This Row],[is_smoker]]=0,"non-smoker","smoker")</f>
        <v>non-smoker</v>
      </c>
      <c r="F381" t="s">
        <v>27</v>
      </c>
      <c r="G381" s="2">
        <v>0.53252032520325199</v>
      </c>
      <c r="H381" s="2">
        <v>1525.48662056791</v>
      </c>
    </row>
    <row r="382" spans="1:8" x14ac:dyDescent="0.3">
      <c r="A382" t="s">
        <v>445</v>
      </c>
      <c r="B382" t="s">
        <v>82</v>
      </c>
      <c r="C382">
        <v>18</v>
      </c>
      <c r="D382" t="s">
        <v>10</v>
      </c>
      <c r="E382" t="str">
        <f ca="1">IF(Table1[[#This Row],[is_smoker]]=0,"non-smoker","smoker")</f>
        <v>non-smoker</v>
      </c>
      <c r="F382" t="s">
        <v>56</v>
      </c>
      <c r="G382" s="2">
        <v>0.19512195121951201</v>
      </c>
      <c r="H382" s="2">
        <v>216.07667148964899</v>
      </c>
    </row>
    <row r="383" spans="1:8" x14ac:dyDescent="0.3">
      <c r="A383" t="s">
        <v>446</v>
      </c>
      <c r="B383" t="s">
        <v>29</v>
      </c>
      <c r="C383">
        <v>54</v>
      </c>
      <c r="D383" t="s">
        <v>17</v>
      </c>
      <c r="E383" t="str">
        <f ca="1">IF(Table1[[#This Row],[is_smoker]]=0,"non-smoker","smoker")</f>
        <v>non-smoker</v>
      </c>
      <c r="F383" t="s">
        <v>2004</v>
      </c>
      <c r="G383" s="2">
        <v>1.2073170731707299</v>
      </c>
      <c r="H383" s="2">
        <v>2977.8404113747802</v>
      </c>
    </row>
    <row r="384" spans="1:8" x14ac:dyDescent="0.3">
      <c r="A384" t="s">
        <v>447</v>
      </c>
      <c r="B384" t="s">
        <v>29</v>
      </c>
      <c r="C384">
        <v>36</v>
      </c>
      <c r="D384" t="s">
        <v>10</v>
      </c>
      <c r="E384" t="str">
        <f ca="1">IF(Table1[[#This Row],[is_smoker]]=0,"non-smoker","smoker")</f>
        <v>non-smoker</v>
      </c>
      <c r="F384" t="s">
        <v>27</v>
      </c>
      <c r="G384" s="2">
        <v>0.53252032520325199</v>
      </c>
      <c r="H384" s="2">
        <v>518.71689464135</v>
      </c>
    </row>
    <row r="385" spans="1:8" x14ac:dyDescent="0.3">
      <c r="A385" t="s">
        <v>448</v>
      </c>
      <c r="B385" t="s">
        <v>110</v>
      </c>
      <c r="C385">
        <v>22</v>
      </c>
      <c r="D385" t="s">
        <v>10</v>
      </c>
      <c r="E385" t="str">
        <f ca="1">IF(Table1[[#This Row],[is_smoker]]=0,"non-smoker","smoker")</f>
        <v>smoker</v>
      </c>
      <c r="F385" t="s">
        <v>24</v>
      </c>
      <c r="G385" s="2">
        <v>1.70325203252032</v>
      </c>
      <c r="H385" s="2">
        <v>1968.6514187046</v>
      </c>
    </row>
    <row r="386" spans="1:8" x14ac:dyDescent="0.3">
      <c r="A386" t="s">
        <v>449</v>
      </c>
      <c r="B386" t="s">
        <v>265</v>
      </c>
      <c r="C386">
        <v>33</v>
      </c>
      <c r="D386" t="s">
        <v>10</v>
      </c>
      <c r="E386" t="str">
        <f ca="1">IF(Table1[[#This Row],[is_smoker]]=0,"non-smoker","smoker")</f>
        <v>non-smoker</v>
      </c>
      <c r="F386" t="s">
        <v>11</v>
      </c>
      <c r="G386" s="2">
        <v>1.1544715447154399</v>
      </c>
      <c r="H386" s="2">
        <v>1148.8465612980101</v>
      </c>
    </row>
    <row r="387" spans="1:8" x14ac:dyDescent="0.3">
      <c r="A387" t="s">
        <v>450</v>
      </c>
      <c r="B387" t="s">
        <v>13</v>
      </c>
      <c r="C387">
        <v>22</v>
      </c>
      <c r="D387" t="s">
        <v>10</v>
      </c>
      <c r="E387" t="str">
        <f ca="1">IF(Table1[[#This Row],[is_smoker]]=0,"non-smoker","smoker")</f>
        <v>non-smoker</v>
      </c>
      <c r="F387" t="s">
        <v>24</v>
      </c>
      <c r="G387" s="2">
        <v>1.70325203252032</v>
      </c>
      <c r="H387" s="2">
        <v>1833.16354490563</v>
      </c>
    </row>
    <row r="388" spans="1:8" x14ac:dyDescent="0.3">
      <c r="A388" t="s">
        <v>451</v>
      </c>
      <c r="B388" t="s">
        <v>50</v>
      </c>
      <c r="C388">
        <v>46</v>
      </c>
      <c r="D388" t="s">
        <v>10</v>
      </c>
      <c r="E388" t="str">
        <f ca="1">IF(Table1[[#This Row],[is_smoker]]=0,"non-smoker","smoker")</f>
        <v>non-smoker</v>
      </c>
      <c r="F388" t="s">
        <v>19</v>
      </c>
      <c r="G388" s="2">
        <v>1.11788617886178</v>
      </c>
      <c r="H388" s="2">
        <v>1014.01214014861</v>
      </c>
    </row>
    <row r="389" spans="1:8" x14ac:dyDescent="0.3">
      <c r="A389" t="s">
        <v>452</v>
      </c>
      <c r="B389" t="s">
        <v>29</v>
      </c>
      <c r="C389">
        <v>56</v>
      </c>
      <c r="D389" t="s">
        <v>10</v>
      </c>
      <c r="E389" t="str">
        <f ca="1">IF(Table1[[#This Row],[is_smoker]]=0,"non-smoker","smoker")</f>
        <v>non-smoker</v>
      </c>
      <c r="F389" t="s">
        <v>24</v>
      </c>
      <c r="G389" s="2">
        <v>1.70325203252032</v>
      </c>
      <c r="H389" s="2">
        <v>1438.7185622598599</v>
      </c>
    </row>
    <row r="390" spans="1:8" x14ac:dyDescent="0.3">
      <c r="A390" t="s">
        <v>453</v>
      </c>
      <c r="B390" t="s">
        <v>13</v>
      </c>
      <c r="C390">
        <v>52</v>
      </c>
      <c r="D390" t="s">
        <v>10</v>
      </c>
      <c r="E390" t="str">
        <f ca="1">IF(Table1[[#This Row],[is_smoker]]=0,"non-smoker","smoker")</f>
        <v>non-smoker</v>
      </c>
      <c r="F390" t="s">
        <v>19</v>
      </c>
      <c r="G390" s="2">
        <v>1.11788617886178</v>
      </c>
      <c r="H390" s="2">
        <v>971.56972308694696</v>
      </c>
    </row>
    <row r="391" spans="1:8" x14ac:dyDescent="0.3">
      <c r="A391" t="s">
        <v>454</v>
      </c>
      <c r="B391" t="s">
        <v>243</v>
      </c>
      <c r="C391">
        <v>44</v>
      </c>
      <c r="D391" t="s">
        <v>10</v>
      </c>
      <c r="E391" t="str">
        <f ca="1">IF(Table1[[#This Row],[is_smoker]]=0,"non-smoker","smoker")</f>
        <v>non-smoker</v>
      </c>
      <c r="F391" t="s">
        <v>11</v>
      </c>
      <c r="G391" s="2">
        <v>1.1544715447154399</v>
      </c>
      <c r="H391" s="2">
        <v>1062.2299152442199</v>
      </c>
    </row>
    <row r="392" spans="1:8" x14ac:dyDescent="0.3">
      <c r="A392" t="s">
        <v>455</v>
      </c>
      <c r="B392" t="s">
        <v>82</v>
      </c>
      <c r="C392">
        <v>38</v>
      </c>
      <c r="D392" t="s">
        <v>10</v>
      </c>
      <c r="E392" t="str">
        <f ca="1">IF(Table1[[#This Row],[is_smoker]]=0,"non-smoker","smoker")</f>
        <v>non-smoker</v>
      </c>
      <c r="F392" t="s">
        <v>61</v>
      </c>
      <c r="G392" s="2">
        <v>1.61788617886178</v>
      </c>
      <c r="H392" s="2">
        <v>1553.6473273158099</v>
      </c>
    </row>
    <row r="393" spans="1:8" x14ac:dyDescent="0.3">
      <c r="A393" t="s">
        <v>456</v>
      </c>
      <c r="B393" t="s">
        <v>113</v>
      </c>
      <c r="C393">
        <v>61</v>
      </c>
      <c r="D393" t="s">
        <v>17</v>
      </c>
      <c r="E393" t="str">
        <f ca="1">IF(Table1[[#This Row],[is_smoker]]=0,"non-smoker","smoker")</f>
        <v>non-smoker</v>
      </c>
      <c r="F393" t="s">
        <v>19</v>
      </c>
      <c r="G393" s="2">
        <v>1.11788617886178</v>
      </c>
      <c r="H393" s="2">
        <v>2623.0925745101399</v>
      </c>
    </row>
    <row r="394" spans="1:8" x14ac:dyDescent="0.3">
      <c r="A394" t="s">
        <v>457</v>
      </c>
      <c r="B394" t="s">
        <v>63</v>
      </c>
      <c r="C394">
        <v>42</v>
      </c>
      <c r="D394" t="s">
        <v>17</v>
      </c>
      <c r="E394" t="str">
        <f ca="1">IF(Table1[[#This Row],[is_smoker]]=0,"non-smoker","smoker")</f>
        <v>non-smoker</v>
      </c>
      <c r="F394" t="s">
        <v>56</v>
      </c>
      <c r="G394" s="2">
        <v>0.19512195121951201</v>
      </c>
      <c r="H394" s="2">
        <v>524.23326028232498</v>
      </c>
    </row>
    <row r="395" spans="1:8" x14ac:dyDescent="0.3">
      <c r="A395" t="s">
        <v>458</v>
      </c>
      <c r="B395" t="s">
        <v>60</v>
      </c>
      <c r="C395">
        <v>40</v>
      </c>
      <c r="D395" t="s">
        <v>10</v>
      </c>
      <c r="E395" t="str">
        <f ca="1">IF(Table1[[#This Row],[is_smoker]]=0,"non-smoker","smoker")</f>
        <v>non-smoker</v>
      </c>
      <c r="F395" t="s">
        <v>24</v>
      </c>
      <c r="G395" s="2">
        <v>1.70325203252032</v>
      </c>
      <c r="H395" s="2">
        <v>1612.4775091353899</v>
      </c>
    </row>
    <row r="396" spans="1:8" x14ac:dyDescent="0.3">
      <c r="A396" t="s">
        <v>459</v>
      </c>
      <c r="B396" t="s">
        <v>106</v>
      </c>
      <c r="C396">
        <v>18</v>
      </c>
      <c r="D396" t="s">
        <v>17</v>
      </c>
      <c r="E396" t="str">
        <f ca="1">IF(Table1[[#This Row],[is_smoker]]=0,"non-smoker","smoker")</f>
        <v>non-smoker</v>
      </c>
      <c r="F396" t="s">
        <v>24</v>
      </c>
      <c r="G396" s="2">
        <v>1.70325203252032</v>
      </c>
      <c r="H396" s="2">
        <v>5429.6781305018703</v>
      </c>
    </row>
    <row r="397" spans="1:8" x14ac:dyDescent="0.3">
      <c r="A397" t="s">
        <v>460</v>
      </c>
      <c r="B397" t="s">
        <v>43</v>
      </c>
      <c r="C397">
        <v>37</v>
      </c>
      <c r="D397" t="s">
        <v>17</v>
      </c>
      <c r="E397" t="str">
        <f ca="1">IF(Table1[[#This Row],[is_smoker]]=0,"non-smoker","smoker")</f>
        <v>non-smoker</v>
      </c>
      <c r="F397" t="s">
        <v>56</v>
      </c>
      <c r="G397" s="2">
        <v>0.19512195121951201</v>
      </c>
      <c r="H397" s="2">
        <v>543.24894296961099</v>
      </c>
    </row>
    <row r="398" spans="1:8" x14ac:dyDescent="0.3">
      <c r="A398" t="s">
        <v>461</v>
      </c>
      <c r="B398" t="s">
        <v>175</v>
      </c>
      <c r="C398">
        <v>60</v>
      </c>
      <c r="D398" t="s">
        <v>17</v>
      </c>
      <c r="E398" t="str">
        <f ca="1">IF(Table1[[#This Row],[is_smoker]]=0,"non-smoker","smoker")</f>
        <v>non-smoker</v>
      </c>
      <c r="F398" t="s">
        <v>48</v>
      </c>
      <c r="G398" s="2">
        <v>0.46341463414634099</v>
      </c>
      <c r="H398" s="2">
        <v>1095.16773188397</v>
      </c>
    </row>
    <row r="399" spans="1:8" x14ac:dyDescent="0.3">
      <c r="A399" t="s">
        <v>462</v>
      </c>
      <c r="B399" t="s">
        <v>85</v>
      </c>
      <c r="C399">
        <v>32</v>
      </c>
      <c r="D399" t="s">
        <v>10</v>
      </c>
      <c r="E399" t="str">
        <f ca="1">IF(Table1[[#This Row],[is_smoker]]=0,"non-smoker","smoker")</f>
        <v>non-smoker</v>
      </c>
      <c r="F399" t="s">
        <v>44</v>
      </c>
      <c r="G399" s="2">
        <v>1.1341463414634101</v>
      </c>
      <c r="H399" s="2">
        <v>1136.6918746680101</v>
      </c>
    </row>
    <row r="400" spans="1:8" x14ac:dyDescent="0.3">
      <c r="A400" t="s">
        <v>463</v>
      </c>
      <c r="B400" t="s">
        <v>29</v>
      </c>
      <c r="C400">
        <v>43</v>
      </c>
      <c r="D400" t="s">
        <v>10</v>
      </c>
      <c r="E400" t="str">
        <f ca="1">IF(Table1[[#This Row],[is_smoker]]=0,"non-smoker","smoker")</f>
        <v>non-smoker</v>
      </c>
      <c r="F400" t="s">
        <v>61</v>
      </c>
      <c r="G400" s="2">
        <v>1.61788617886178</v>
      </c>
      <c r="H400" s="2">
        <v>1499.2640377272601</v>
      </c>
    </row>
    <row r="401" spans="1:8" x14ac:dyDescent="0.3">
      <c r="A401" t="s">
        <v>464</v>
      </c>
      <c r="B401" t="s">
        <v>23</v>
      </c>
      <c r="C401">
        <v>58</v>
      </c>
      <c r="D401" t="s">
        <v>10</v>
      </c>
      <c r="E401" t="str">
        <f ca="1">IF(Table1[[#This Row],[is_smoker]]=0,"non-smoker","smoker")</f>
        <v>non-smoker</v>
      </c>
      <c r="F401" t="s">
        <v>2004</v>
      </c>
      <c r="G401" s="2">
        <v>1.2073170731707299</v>
      </c>
      <c r="H401" s="2">
        <v>1005.37607450673</v>
      </c>
    </row>
    <row r="402" spans="1:8" x14ac:dyDescent="0.3">
      <c r="A402" t="s">
        <v>465</v>
      </c>
      <c r="B402" t="s">
        <v>466</v>
      </c>
      <c r="C402">
        <v>60</v>
      </c>
      <c r="D402" t="s">
        <v>10</v>
      </c>
      <c r="E402" t="str">
        <f ca="1">IF(Table1[[#This Row],[is_smoker]]=0,"non-smoker","smoker")</f>
        <v>non-smoker</v>
      </c>
      <c r="F402" t="s">
        <v>19</v>
      </c>
      <c r="G402" s="2">
        <v>1.11788617886178</v>
      </c>
      <c r="H402" s="2">
        <v>917.73028374089404</v>
      </c>
    </row>
    <row r="403" spans="1:8" x14ac:dyDescent="0.3">
      <c r="A403" t="s">
        <v>467</v>
      </c>
      <c r="B403" t="s">
        <v>192</v>
      </c>
      <c r="C403">
        <v>51</v>
      </c>
      <c r="D403" t="s">
        <v>10</v>
      </c>
      <c r="E403" t="str">
        <f ca="1">IF(Table1[[#This Row],[is_smoker]]=0,"non-smoker","smoker")</f>
        <v>non-smoker</v>
      </c>
      <c r="F403" t="s">
        <v>56</v>
      </c>
      <c r="G403" s="2">
        <v>0.19512195121951201</v>
      </c>
      <c r="H403" s="2">
        <v>170.79587584436999</v>
      </c>
    </row>
    <row r="404" spans="1:8" x14ac:dyDescent="0.3">
      <c r="A404" t="s">
        <v>468</v>
      </c>
      <c r="B404" t="s">
        <v>41</v>
      </c>
      <c r="C404">
        <v>54</v>
      </c>
      <c r="D404" t="s">
        <v>10</v>
      </c>
      <c r="E404" t="str">
        <f ca="1">IF(Table1[[#This Row],[is_smoker]]=0,"non-smoker","smoker")</f>
        <v>non-smoker</v>
      </c>
      <c r="F404" t="s">
        <v>11</v>
      </c>
      <c r="G404" s="2">
        <v>1.1544715447154399</v>
      </c>
      <c r="H404" s="2">
        <v>989.167619679327</v>
      </c>
    </row>
    <row r="405" spans="1:8" x14ac:dyDescent="0.3">
      <c r="A405" t="s">
        <v>469</v>
      </c>
      <c r="B405" t="s">
        <v>29</v>
      </c>
      <c r="C405">
        <v>58</v>
      </c>
      <c r="D405" t="s">
        <v>17</v>
      </c>
      <c r="E405" t="str">
        <f ca="1">IF(Table1[[#This Row],[is_smoker]]=0,"non-smoker","smoker")</f>
        <v>non-smoker</v>
      </c>
      <c r="F405" t="s">
        <v>19</v>
      </c>
      <c r="G405" s="2">
        <v>1.11788617886178</v>
      </c>
      <c r="H405" s="2">
        <v>2679.7742464432699</v>
      </c>
    </row>
    <row r="406" spans="1:8" x14ac:dyDescent="0.3">
      <c r="A406" t="s">
        <v>470</v>
      </c>
      <c r="B406" t="s">
        <v>16</v>
      </c>
      <c r="C406">
        <v>50</v>
      </c>
      <c r="D406" t="s">
        <v>10</v>
      </c>
      <c r="E406" t="str">
        <f ca="1">IF(Table1[[#This Row],[is_smoker]]=0,"non-smoker","smoker")</f>
        <v>non-smoker</v>
      </c>
      <c r="F406" t="s">
        <v>44</v>
      </c>
      <c r="G406" s="2">
        <v>1.1341463414634101</v>
      </c>
      <c r="H406" s="2">
        <v>999.85082499198597</v>
      </c>
    </row>
    <row r="407" spans="1:8" x14ac:dyDescent="0.3">
      <c r="A407" t="s">
        <v>471</v>
      </c>
      <c r="B407" t="s">
        <v>472</v>
      </c>
      <c r="C407">
        <v>63</v>
      </c>
      <c r="D407" t="s">
        <v>10</v>
      </c>
      <c r="E407" t="str">
        <f ca="1">IF(Table1[[#This Row],[is_smoker]]=0,"non-smoker","smoker")</f>
        <v>non-smoker</v>
      </c>
      <c r="F407" t="s">
        <v>11</v>
      </c>
      <c r="G407" s="2">
        <v>1.1544715447154399</v>
      </c>
      <c r="H407" s="2">
        <v>927.71828865755197</v>
      </c>
    </row>
    <row r="408" spans="1:8" x14ac:dyDescent="0.3">
      <c r="A408" t="s">
        <v>473</v>
      </c>
      <c r="B408" t="s">
        <v>170</v>
      </c>
      <c r="C408">
        <v>51</v>
      </c>
      <c r="D408" t="s">
        <v>17</v>
      </c>
      <c r="E408" t="str">
        <f ca="1">IF(Table1[[#This Row],[is_smoker]]=0,"non-smoker","smoker")</f>
        <v>non-smoker</v>
      </c>
      <c r="F408" t="s">
        <v>27</v>
      </c>
      <c r="G408" s="2">
        <v>0.53252032520325199</v>
      </c>
      <c r="H408" s="2">
        <v>1341.8403791568701</v>
      </c>
    </row>
    <row r="409" spans="1:8" x14ac:dyDescent="0.3">
      <c r="A409" t="s">
        <v>474</v>
      </c>
      <c r="B409" t="s">
        <v>21</v>
      </c>
      <c r="C409">
        <v>33</v>
      </c>
      <c r="D409" t="s">
        <v>10</v>
      </c>
      <c r="E409" t="str">
        <f ca="1">IF(Table1[[#This Row],[is_smoker]]=0,"non-smoker","smoker")</f>
        <v>non-smoker</v>
      </c>
      <c r="F409" t="s">
        <v>24</v>
      </c>
      <c r="G409" s="2">
        <v>1.70325203252032</v>
      </c>
      <c r="H409" s="2">
        <v>1694.95320135165</v>
      </c>
    </row>
    <row r="410" spans="1:8" x14ac:dyDescent="0.3">
      <c r="A410" t="s">
        <v>475</v>
      </c>
      <c r="B410" t="s">
        <v>50</v>
      </c>
      <c r="C410">
        <v>35</v>
      </c>
      <c r="D410" t="s">
        <v>17</v>
      </c>
      <c r="E410" t="str">
        <f ca="1">IF(Table1[[#This Row],[is_smoker]]=0,"non-smoker","smoker")</f>
        <v>non-smoker</v>
      </c>
      <c r="F410" t="s">
        <v>27</v>
      </c>
      <c r="G410" s="2">
        <v>0.53252032520325199</v>
      </c>
      <c r="H410" s="2">
        <v>1503.8990174989799</v>
      </c>
    </row>
    <row r="411" spans="1:8" x14ac:dyDescent="0.3">
      <c r="A411" t="s">
        <v>476</v>
      </c>
      <c r="B411" t="s">
        <v>65</v>
      </c>
      <c r="C411">
        <v>31</v>
      </c>
      <c r="D411" t="s">
        <v>17</v>
      </c>
      <c r="E411" t="str">
        <f ca="1">IF(Table1[[#This Row],[is_smoker]]=0,"non-smoker","smoker")</f>
        <v>non-smoker</v>
      </c>
      <c r="F411" t="s">
        <v>19</v>
      </c>
      <c r="G411" s="2">
        <v>1.11788617886178</v>
      </c>
      <c r="H411" s="2">
        <v>3248.3254033431199</v>
      </c>
    </row>
    <row r="412" spans="1:8" x14ac:dyDescent="0.3">
      <c r="A412" t="s">
        <v>477</v>
      </c>
      <c r="B412" t="s">
        <v>31</v>
      </c>
      <c r="C412">
        <v>58</v>
      </c>
      <c r="D412" t="s">
        <v>10</v>
      </c>
      <c r="E412" t="str">
        <f ca="1">IF(Table1[[#This Row],[is_smoker]]=0,"non-smoker","smoker")</f>
        <v>non-smoker</v>
      </c>
      <c r="F412" t="s">
        <v>44</v>
      </c>
      <c r="G412" s="2">
        <v>1.1341463414634101</v>
      </c>
      <c r="H412" s="2">
        <v>944.44419120329599</v>
      </c>
    </row>
    <row r="413" spans="1:8" x14ac:dyDescent="0.3">
      <c r="A413" t="s">
        <v>478</v>
      </c>
      <c r="B413" t="s">
        <v>13</v>
      </c>
      <c r="C413">
        <v>36</v>
      </c>
      <c r="D413" t="s">
        <v>10</v>
      </c>
      <c r="E413" t="str">
        <f ca="1">IF(Table1[[#This Row],[is_smoker]]=0,"non-smoker","smoker")</f>
        <v>non-smoker</v>
      </c>
      <c r="F413" t="s">
        <v>61</v>
      </c>
      <c r="G413" s="2">
        <v>1.61788617886178</v>
      </c>
      <c r="H413" s="2">
        <v>1575.94903868135</v>
      </c>
    </row>
    <row r="414" spans="1:8" x14ac:dyDescent="0.3">
      <c r="A414" t="s">
        <v>479</v>
      </c>
      <c r="B414" t="s">
        <v>166</v>
      </c>
      <c r="C414">
        <v>35</v>
      </c>
      <c r="D414" t="s">
        <v>10</v>
      </c>
      <c r="E414" t="str">
        <f ca="1">IF(Table1[[#This Row],[is_smoker]]=0,"non-smoker","smoker")</f>
        <v>non-smoker</v>
      </c>
      <c r="F414" t="s">
        <v>19</v>
      </c>
      <c r="G414" s="2">
        <v>1.11788617886178</v>
      </c>
      <c r="H414" s="2">
        <v>1096.69699902618</v>
      </c>
    </row>
    <row r="415" spans="1:8" x14ac:dyDescent="0.3">
      <c r="A415" t="s">
        <v>480</v>
      </c>
      <c r="B415" t="s">
        <v>466</v>
      </c>
      <c r="C415">
        <v>38</v>
      </c>
      <c r="D415" t="s">
        <v>17</v>
      </c>
      <c r="E415" t="str">
        <f ca="1">IF(Table1[[#This Row],[is_smoker]]=0,"non-smoker","smoker")</f>
        <v>non-smoker</v>
      </c>
      <c r="F415" t="s">
        <v>56</v>
      </c>
      <c r="G415" s="2">
        <v>0.19512195121951201</v>
      </c>
      <c r="H415" s="2">
        <v>539.39141049861905</v>
      </c>
    </row>
    <row r="416" spans="1:8" x14ac:dyDescent="0.3">
      <c r="A416" t="s">
        <v>481</v>
      </c>
      <c r="B416" t="s">
        <v>50</v>
      </c>
      <c r="C416">
        <v>43</v>
      </c>
      <c r="D416" t="s">
        <v>17</v>
      </c>
      <c r="E416" t="str">
        <f ca="1">IF(Table1[[#This Row],[is_smoker]]=0,"non-smoker","smoker")</f>
        <v>non-smoker</v>
      </c>
      <c r="F416" t="s">
        <v>14</v>
      </c>
      <c r="G416" s="2">
        <v>0.66666666666666596</v>
      </c>
      <c r="H416" s="2">
        <v>1778.4117477336999</v>
      </c>
    </row>
    <row r="417" spans="1:8" x14ac:dyDescent="0.3">
      <c r="A417" s="1" t="s">
        <v>482</v>
      </c>
      <c r="B417" t="s">
        <v>16</v>
      </c>
      <c r="C417">
        <v>63</v>
      </c>
      <c r="D417" t="s">
        <v>10</v>
      </c>
      <c r="E417" t="str">
        <f ca="1">IF(Table1[[#This Row],[is_smoker]]=0,"non-smoker","smoker")</f>
        <v>non-smoker</v>
      </c>
      <c r="F417" t="s">
        <v>19</v>
      </c>
      <c r="G417" s="2">
        <v>1.11788617886178</v>
      </c>
      <c r="H417" s="2">
        <v>898.31876542544705</v>
      </c>
    </row>
    <row r="418" spans="1:8" x14ac:dyDescent="0.3">
      <c r="A418" s="1" t="s">
        <v>483</v>
      </c>
      <c r="B418" t="s">
        <v>85</v>
      </c>
      <c r="C418">
        <v>29</v>
      </c>
      <c r="D418" t="s">
        <v>10</v>
      </c>
      <c r="E418" t="str">
        <f ca="1">IF(Table1[[#This Row],[is_smoker]]=0,"non-smoker","smoker")</f>
        <v>non-smoker</v>
      </c>
      <c r="F418" t="s">
        <v>24</v>
      </c>
      <c r="G418" s="2">
        <v>1.70325203252032</v>
      </c>
      <c r="H418" s="2">
        <v>1743.96259694368</v>
      </c>
    </row>
    <row r="419" spans="1:8" x14ac:dyDescent="0.3">
      <c r="A419" t="s">
        <v>484</v>
      </c>
      <c r="B419" t="s">
        <v>92</v>
      </c>
      <c r="C419">
        <v>21</v>
      </c>
      <c r="D419" t="s">
        <v>17</v>
      </c>
      <c r="E419" t="str">
        <f ca="1">IF(Table1[[#This Row],[is_smoker]]=0,"non-smoker","smoker")</f>
        <v>non-smoker</v>
      </c>
      <c r="F419" t="s">
        <v>24</v>
      </c>
      <c r="G419" s="2">
        <v>1.70325203252032</v>
      </c>
      <c r="H419" s="2">
        <v>5314.8314284320704</v>
      </c>
    </row>
    <row r="420" spans="1:8" x14ac:dyDescent="0.3">
      <c r="A420" t="s">
        <v>485</v>
      </c>
      <c r="B420" t="s">
        <v>60</v>
      </c>
      <c r="C420">
        <v>19</v>
      </c>
      <c r="D420" t="s">
        <v>17</v>
      </c>
      <c r="E420" t="str">
        <f ca="1">IF(Table1[[#This Row],[is_smoker]]=0,"non-smoker","smoker")</f>
        <v>non-smoker</v>
      </c>
      <c r="F420" t="s">
        <v>19</v>
      </c>
      <c r="G420" s="2">
        <v>1.11788617886178</v>
      </c>
      <c r="H420" s="2">
        <v>3538.3263993226201</v>
      </c>
    </row>
    <row r="421" spans="1:8" x14ac:dyDescent="0.3">
      <c r="A421" t="s">
        <v>486</v>
      </c>
      <c r="B421" t="s">
        <v>60</v>
      </c>
      <c r="C421">
        <v>58</v>
      </c>
      <c r="D421" t="s">
        <v>17</v>
      </c>
      <c r="E421" t="str">
        <f ca="1">IF(Table1[[#This Row],[is_smoker]]=0,"non-smoker","smoker")</f>
        <v>non-smoker</v>
      </c>
      <c r="F421" t="s">
        <v>11</v>
      </c>
      <c r="G421" s="2">
        <v>1.1544715447154399</v>
      </c>
      <c r="H421" s="2">
        <v>2767.4759490541401</v>
      </c>
    </row>
    <row r="422" spans="1:8" x14ac:dyDescent="0.3">
      <c r="A422" t="s">
        <v>487</v>
      </c>
      <c r="B422" t="s">
        <v>92</v>
      </c>
      <c r="C422">
        <v>21</v>
      </c>
      <c r="D422" t="s">
        <v>17</v>
      </c>
      <c r="E422" t="str">
        <f ca="1">IF(Table1[[#This Row],[is_smoker]]=0,"non-smoker","smoker")</f>
        <v>non-smoker</v>
      </c>
      <c r="F422" t="s">
        <v>14</v>
      </c>
      <c r="G422" s="2">
        <v>0.66666666666666596</v>
      </c>
      <c r="H422" s="2">
        <v>2080.26814859871</v>
      </c>
    </row>
    <row r="423" spans="1:8" x14ac:dyDescent="0.3">
      <c r="A423" t="s">
        <v>488</v>
      </c>
      <c r="B423" t="s">
        <v>175</v>
      </c>
      <c r="C423">
        <v>26</v>
      </c>
      <c r="D423" t="s">
        <v>17</v>
      </c>
      <c r="E423" t="str">
        <f ca="1">IF(Table1[[#This Row],[is_smoker]]=0,"non-smoker","smoker")</f>
        <v>non-smoker</v>
      </c>
      <c r="F423" t="s">
        <v>56</v>
      </c>
      <c r="G423" s="2">
        <v>0.19512195121951201</v>
      </c>
      <c r="H423" s="2">
        <v>587.54669879159405</v>
      </c>
    </row>
    <row r="424" spans="1:8" x14ac:dyDescent="0.3">
      <c r="A424" t="s">
        <v>489</v>
      </c>
      <c r="B424" t="s">
        <v>37</v>
      </c>
      <c r="C424">
        <v>34</v>
      </c>
      <c r="D424" t="s">
        <v>10</v>
      </c>
      <c r="E424" t="str">
        <f ca="1">IF(Table1[[#This Row],[is_smoker]]=0,"non-smoker","smoker")</f>
        <v>non-smoker</v>
      </c>
      <c r="F424" t="s">
        <v>19</v>
      </c>
      <c r="G424" s="2">
        <v>1.11788617886178</v>
      </c>
      <c r="H424" s="2">
        <v>1104.54017969654</v>
      </c>
    </row>
    <row r="425" spans="1:8" x14ac:dyDescent="0.3">
      <c r="A425" t="s">
        <v>490</v>
      </c>
      <c r="B425" t="s">
        <v>50</v>
      </c>
      <c r="C425">
        <v>39</v>
      </c>
      <c r="D425" t="s">
        <v>17</v>
      </c>
      <c r="E425" t="str">
        <f ca="1">IF(Table1[[#This Row],[is_smoker]]=0,"non-smoker","smoker")</f>
        <v>non-smoker</v>
      </c>
      <c r="F425" t="s">
        <v>11</v>
      </c>
      <c r="G425" s="2">
        <v>1.1544715447154399</v>
      </c>
      <c r="H425" s="2">
        <v>3168.73751304189</v>
      </c>
    </row>
    <row r="426" spans="1:8" x14ac:dyDescent="0.3">
      <c r="A426" t="s">
        <v>491</v>
      </c>
      <c r="B426" t="s">
        <v>13</v>
      </c>
      <c r="C426">
        <v>29</v>
      </c>
      <c r="D426" t="s">
        <v>17</v>
      </c>
      <c r="E426" t="str">
        <f ca="1">IF(Table1[[#This Row],[is_smoker]]=0,"non-smoker","smoker")</f>
        <v>non-smoker</v>
      </c>
      <c r="F426" t="s">
        <v>24</v>
      </c>
      <c r="G426" s="2">
        <v>1.70325203252032</v>
      </c>
      <c r="H426" s="2">
        <v>5020.3105746776</v>
      </c>
    </row>
    <row r="427" spans="1:8" x14ac:dyDescent="0.3">
      <c r="A427" t="s">
        <v>492</v>
      </c>
      <c r="B427" t="s">
        <v>50</v>
      </c>
      <c r="C427">
        <v>18</v>
      </c>
      <c r="D427" t="s">
        <v>10</v>
      </c>
      <c r="E427" t="str">
        <f ca="1">IF(Table1[[#This Row],[is_smoker]]=0,"non-smoker","smoker")</f>
        <v>non-smoker</v>
      </c>
      <c r="F427" t="s">
        <v>24</v>
      </c>
      <c r="G427" s="2">
        <v>1.70325203252032</v>
      </c>
      <c r="H427" s="2">
        <v>1886.16927821173</v>
      </c>
    </row>
    <row r="428" spans="1:8" x14ac:dyDescent="0.3">
      <c r="A428" t="s">
        <v>493</v>
      </c>
      <c r="B428" t="s">
        <v>60</v>
      </c>
      <c r="C428">
        <v>43</v>
      </c>
      <c r="D428" t="s">
        <v>17</v>
      </c>
      <c r="E428" t="str">
        <f ca="1">IF(Table1[[#This Row],[is_smoker]]=0,"non-smoker","smoker")</f>
        <v>non-smoker</v>
      </c>
      <c r="F428" t="s">
        <v>44</v>
      </c>
      <c r="G428" s="2">
        <v>1.1341463414634101</v>
      </c>
      <c r="H428" s="2">
        <v>3025.4687659616102</v>
      </c>
    </row>
    <row r="429" spans="1:8" x14ac:dyDescent="0.3">
      <c r="A429" t="s">
        <v>494</v>
      </c>
      <c r="B429" t="s">
        <v>170</v>
      </c>
      <c r="C429">
        <v>58</v>
      </c>
      <c r="D429" t="s">
        <v>17</v>
      </c>
      <c r="E429" t="str">
        <f ca="1">IF(Table1[[#This Row],[is_smoker]]=0,"non-smoker","smoker")</f>
        <v>non-smoker</v>
      </c>
      <c r="F429" t="s">
        <v>19</v>
      </c>
      <c r="G429" s="2">
        <v>1.11788617886178</v>
      </c>
      <c r="H429" s="2">
        <v>2679.7742464432699</v>
      </c>
    </row>
    <row r="430" spans="1:8" x14ac:dyDescent="0.3">
      <c r="A430" t="s">
        <v>495</v>
      </c>
      <c r="B430" t="s">
        <v>60</v>
      </c>
      <c r="C430">
        <v>26</v>
      </c>
      <c r="D430" t="s">
        <v>10</v>
      </c>
      <c r="E430" t="str">
        <f ca="1">IF(Table1[[#This Row],[is_smoker]]=0,"non-smoker","smoker")</f>
        <v>non-smoker</v>
      </c>
      <c r="F430" t="s">
        <v>14</v>
      </c>
      <c r="G430" s="2">
        <v>0.66666666666666596</v>
      </c>
      <c r="H430" s="2">
        <v>697.35124795805496</v>
      </c>
    </row>
    <row r="431" spans="1:8" x14ac:dyDescent="0.3">
      <c r="A431" t="s">
        <v>496</v>
      </c>
      <c r="B431" t="s">
        <v>50</v>
      </c>
      <c r="C431">
        <v>51</v>
      </c>
      <c r="D431" t="s">
        <v>17</v>
      </c>
      <c r="E431" t="str">
        <f ca="1">IF(Table1[[#This Row],[is_smoker]]=0,"non-smoker","smoker")</f>
        <v>non-smoker</v>
      </c>
      <c r="F431" t="s">
        <v>48</v>
      </c>
      <c r="G431" s="2">
        <v>0.46341463414634099</v>
      </c>
      <c r="H431" s="2">
        <v>1167.70842155636</v>
      </c>
    </row>
    <row r="432" spans="1:8" x14ac:dyDescent="0.3">
      <c r="A432" t="s">
        <v>497</v>
      </c>
      <c r="B432" t="s">
        <v>33</v>
      </c>
      <c r="C432">
        <v>40</v>
      </c>
      <c r="D432" t="s">
        <v>10</v>
      </c>
      <c r="E432" t="str">
        <f ca="1">IF(Table1[[#This Row],[is_smoker]]=0,"non-smoker","smoker")</f>
        <v>non-smoker</v>
      </c>
      <c r="F432" t="s">
        <v>14</v>
      </c>
      <c r="G432" s="2">
        <v>0.66666666666666596</v>
      </c>
      <c r="H432" s="2">
        <v>631.13678161862697</v>
      </c>
    </row>
    <row r="433" spans="1:8" x14ac:dyDescent="0.3">
      <c r="A433" t="s">
        <v>498</v>
      </c>
      <c r="B433" t="s">
        <v>60</v>
      </c>
      <c r="C433">
        <v>34</v>
      </c>
      <c r="D433" t="s">
        <v>17</v>
      </c>
      <c r="E433" t="str">
        <f ca="1">IF(Table1[[#This Row],[is_smoker]]=0,"non-smoker","smoker")</f>
        <v>non-smoker</v>
      </c>
      <c r="F433" t="s">
        <v>24</v>
      </c>
      <c r="G433" s="2">
        <v>1.70325203252032</v>
      </c>
      <c r="H433" s="2">
        <v>4844.5815021867302</v>
      </c>
    </row>
    <row r="434" spans="1:8" x14ac:dyDescent="0.3">
      <c r="A434" t="s">
        <v>499</v>
      </c>
      <c r="B434" t="s">
        <v>245</v>
      </c>
      <c r="C434">
        <v>47</v>
      </c>
      <c r="D434" t="s">
        <v>10</v>
      </c>
      <c r="E434" t="str">
        <f ca="1">IF(Table1[[#This Row],[is_smoker]]=0,"non-smoker","smoker")</f>
        <v>non-smoker</v>
      </c>
      <c r="F434" t="s">
        <v>24</v>
      </c>
      <c r="G434" s="2">
        <v>1.70325203252032</v>
      </c>
      <c r="H434" s="2">
        <v>1534.0150485535701</v>
      </c>
    </row>
    <row r="435" spans="1:8" x14ac:dyDescent="0.3">
      <c r="A435" t="s">
        <v>500</v>
      </c>
      <c r="B435" t="s">
        <v>29</v>
      </c>
      <c r="C435">
        <v>26</v>
      </c>
      <c r="D435" t="s">
        <v>10</v>
      </c>
      <c r="E435" t="str">
        <f ca="1">IF(Table1[[#This Row],[is_smoker]]=0,"non-smoker","smoker")</f>
        <v>non-smoker</v>
      </c>
      <c r="F435" t="s">
        <v>27</v>
      </c>
      <c r="G435" s="2">
        <v>0.53252032520325199</v>
      </c>
      <c r="H435" s="2">
        <v>557.030570015276</v>
      </c>
    </row>
    <row r="436" spans="1:8" x14ac:dyDescent="0.3">
      <c r="A436" t="s">
        <v>501</v>
      </c>
      <c r="B436" t="s">
        <v>502</v>
      </c>
      <c r="C436">
        <v>55</v>
      </c>
      <c r="D436" t="s">
        <v>10</v>
      </c>
      <c r="E436" t="str">
        <f ca="1">IF(Table1[[#This Row],[is_smoker]]=0,"non-smoker","smoker")</f>
        <v>non-smoker</v>
      </c>
      <c r="F436" t="s">
        <v>24</v>
      </c>
      <c r="G436" s="2">
        <v>1.70325203252032</v>
      </c>
      <c r="H436" s="2">
        <v>1449.0077575687101</v>
      </c>
    </row>
    <row r="437" spans="1:8" x14ac:dyDescent="0.3">
      <c r="A437" t="s">
        <v>503</v>
      </c>
      <c r="B437" t="s">
        <v>13</v>
      </c>
      <c r="C437">
        <v>59</v>
      </c>
      <c r="D437" t="s">
        <v>10</v>
      </c>
      <c r="E437" t="str">
        <f ca="1">IF(Table1[[#This Row],[is_smoker]]=0,"non-smoker","smoker")</f>
        <v>non-smoker</v>
      </c>
      <c r="F437" t="s">
        <v>56</v>
      </c>
      <c r="G437" s="2">
        <v>0.19512195121951201</v>
      </c>
      <c r="H437" s="2">
        <v>161.331239411627</v>
      </c>
    </row>
    <row r="438" spans="1:8" x14ac:dyDescent="0.3">
      <c r="A438" t="s">
        <v>504</v>
      </c>
      <c r="B438" t="s">
        <v>29</v>
      </c>
      <c r="C438">
        <v>35</v>
      </c>
      <c r="D438" t="s">
        <v>10</v>
      </c>
      <c r="E438" t="str">
        <f ca="1">IF(Table1[[#This Row],[is_smoker]]=0,"non-smoker","smoker")</f>
        <v>non-smoker</v>
      </c>
      <c r="F438" t="s">
        <v>2004</v>
      </c>
      <c r="G438" s="2">
        <v>1.2073170731707299</v>
      </c>
      <c r="H438" s="2">
        <v>1184.43275894827</v>
      </c>
    </row>
    <row r="439" spans="1:8" x14ac:dyDescent="0.3">
      <c r="A439" t="s">
        <v>505</v>
      </c>
      <c r="B439" t="s">
        <v>113</v>
      </c>
      <c r="C439">
        <v>31</v>
      </c>
      <c r="D439" t="s">
        <v>17</v>
      </c>
      <c r="E439" t="str">
        <f ca="1">IF(Table1[[#This Row],[is_smoker]]=0,"non-smoker","smoker")</f>
        <v>non-smoker</v>
      </c>
      <c r="F439" t="s">
        <v>19</v>
      </c>
      <c r="G439" s="2">
        <v>1.11788617886178</v>
      </c>
      <c r="H439" s="2">
        <v>3248.3254033431199</v>
      </c>
    </row>
    <row r="440" spans="1:8" x14ac:dyDescent="0.3">
      <c r="A440" t="s">
        <v>506</v>
      </c>
      <c r="B440" t="s">
        <v>13</v>
      </c>
      <c r="C440">
        <v>22</v>
      </c>
      <c r="D440" t="s">
        <v>17</v>
      </c>
      <c r="E440" t="str">
        <f ca="1">IF(Table1[[#This Row],[is_smoker]]=0,"non-smoker","smoker")</f>
        <v>non-smoker</v>
      </c>
      <c r="F440" t="s">
        <v>14</v>
      </c>
      <c r="G440" s="2">
        <v>0.66666666666666596</v>
      </c>
      <c r="H440" s="2">
        <v>2065.49646420716</v>
      </c>
    </row>
    <row r="441" spans="1:8" x14ac:dyDescent="0.3">
      <c r="A441" t="s">
        <v>507</v>
      </c>
      <c r="B441" t="s">
        <v>128</v>
      </c>
      <c r="C441">
        <v>24</v>
      </c>
      <c r="D441" t="s">
        <v>10</v>
      </c>
      <c r="E441" t="str">
        <f ca="1">IF(Table1[[#This Row],[is_smoker]]=0,"non-smoker","smoker")</f>
        <v>non-smoker</v>
      </c>
      <c r="F441" t="s">
        <v>2004</v>
      </c>
      <c r="G441" s="2">
        <v>1.2073170731707299</v>
      </c>
      <c r="H441" s="2">
        <v>1281.01410314131</v>
      </c>
    </row>
    <row r="442" spans="1:8" x14ac:dyDescent="0.3">
      <c r="A442" t="s">
        <v>508</v>
      </c>
      <c r="B442" t="s">
        <v>16</v>
      </c>
      <c r="C442">
        <v>40</v>
      </c>
      <c r="D442" t="s">
        <v>10</v>
      </c>
      <c r="E442" t="str">
        <f ca="1">IF(Table1[[#This Row],[is_smoker]]=0,"non-smoker","smoker")</f>
        <v>non-smoker</v>
      </c>
      <c r="F442" t="s">
        <v>11</v>
      </c>
      <c r="G442" s="2">
        <v>1.1544715447154399</v>
      </c>
      <c r="H442" s="2">
        <v>1092.9441828029801</v>
      </c>
    </row>
    <row r="443" spans="1:8" x14ac:dyDescent="0.3">
      <c r="A443" t="s">
        <v>509</v>
      </c>
      <c r="B443" t="s">
        <v>29</v>
      </c>
      <c r="C443">
        <v>35</v>
      </c>
      <c r="D443" t="s">
        <v>10</v>
      </c>
      <c r="E443" t="str">
        <f ca="1">IF(Table1[[#This Row],[is_smoker]]=0,"non-smoker","smoker")</f>
        <v>non-smoker</v>
      </c>
      <c r="F443" t="s">
        <v>48</v>
      </c>
      <c r="G443" s="2">
        <v>0.46341463414634099</v>
      </c>
      <c r="H443" s="2">
        <v>454.63075595994502</v>
      </c>
    </row>
    <row r="444" spans="1:8" x14ac:dyDescent="0.3">
      <c r="A444" t="s">
        <v>510</v>
      </c>
      <c r="B444" t="s">
        <v>178</v>
      </c>
      <c r="C444">
        <v>65</v>
      </c>
      <c r="D444" t="s">
        <v>17</v>
      </c>
      <c r="E444" t="str">
        <f ca="1">IF(Table1[[#This Row],[is_smoker]]=0,"non-smoker","smoker")</f>
        <v>non-smoker</v>
      </c>
      <c r="F444" t="s">
        <v>56</v>
      </c>
      <c r="G444" s="2">
        <v>0.19512195121951201</v>
      </c>
      <c r="H444" s="2">
        <v>444.98226967017399</v>
      </c>
    </row>
    <row r="445" spans="1:8" x14ac:dyDescent="0.3">
      <c r="A445" t="s">
        <v>511</v>
      </c>
      <c r="B445" t="s">
        <v>29</v>
      </c>
      <c r="C445">
        <v>44</v>
      </c>
      <c r="D445" t="s">
        <v>10</v>
      </c>
      <c r="E445" t="str">
        <f ca="1">IF(Table1[[#This Row],[is_smoker]]=0,"non-smoker","smoker")</f>
        <v>non-smoker</v>
      </c>
      <c r="F445" t="s">
        <v>14</v>
      </c>
      <c r="G445" s="2">
        <v>0.66666666666666596</v>
      </c>
      <c r="H445" s="2">
        <v>613.40037359173596</v>
      </c>
    </row>
    <row r="446" spans="1:8" x14ac:dyDescent="0.3">
      <c r="A446" t="s">
        <v>512</v>
      </c>
      <c r="B446" t="s">
        <v>29</v>
      </c>
      <c r="C446">
        <v>50</v>
      </c>
      <c r="D446" t="s">
        <v>10</v>
      </c>
      <c r="E446" t="str">
        <f ca="1">IF(Table1[[#This Row],[is_smoker]]=0,"non-smoker","smoker")</f>
        <v>non-smoker</v>
      </c>
      <c r="F446" t="s">
        <v>2004</v>
      </c>
      <c r="G446" s="2">
        <v>1.2073170731707299</v>
      </c>
      <c r="H446" s="2">
        <v>1064.3573298301701</v>
      </c>
    </row>
    <row r="447" spans="1:8" x14ac:dyDescent="0.3">
      <c r="A447" t="s">
        <v>513</v>
      </c>
      <c r="B447" t="s">
        <v>85</v>
      </c>
      <c r="C447">
        <v>26</v>
      </c>
      <c r="D447" t="s">
        <v>10</v>
      </c>
      <c r="E447" t="str">
        <f ca="1">IF(Table1[[#This Row],[is_smoker]]=0,"non-smoker","smoker")</f>
        <v>non-smoker</v>
      </c>
      <c r="F447" t="s">
        <v>48</v>
      </c>
      <c r="G447" s="2">
        <v>0.46341463414634099</v>
      </c>
      <c r="H447" s="2">
        <v>484.74416016596501</v>
      </c>
    </row>
    <row r="448" spans="1:8" x14ac:dyDescent="0.3">
      <c r="A448" t="s">
        <v>514</v>
      </c>
      <c r="B448" t="s">
        <v>229</v>
      </c>
      <c r="C448">
        <v>42</v>
      </c>
      <c r="D448" t="s">
        <v>17</v>
      </c>
      <c r="E448" t="str">
        <f ca="1">IF(Table1[[#This Row],[is_smoker]]=0,"non-smoker","smoker")</f>
        <v>non-smoker</v>
      </c>
      <c r="F448" t="s">
        <v>27</v>
      </c>
      <c r="G448" s="2">
        <v>0.53252032520325199</v>
      </c>
      <c r="H448" s="2">
        <v>1430.71993952051</v>
      </c>
    </row>
    <row r="449" spans="1:8" x14ac:dyDescent="0.3">
      <c r="A449" t="s">
        <v>515</v>
      </c>
      <c r="B449" t="s">
        <v>245</v>
      </c>
      <c r="C449">
        <v>47</v>
      </c>
      <c r="D449" t="s">
        <v>17</v>
      </c>
      <c r="E449" t="str">
        <f ca="1">IF(Table1[[#This Row],[is_smoker]]=0,"non-smoker","smoker")</f>
        <v>non-smoker</v>
      </c>
      <c r="F449" t="s">
        <v>56</v>
      </c>
      <c r="G449" s="2">
        <v>0.19512195121951201</v>
      </c>
      <c r="H449" s="2">
        <v>505.883195435152</v>
      </c>
    </row>
    <row r="450" spans="1:8" x14ac:dyDescent="0.3">
      <c r="A450" t="s">
        <v>516</v>
      </c>
      <c r="B450" t="s">
        <v>13</v>
      </c>
      <c r="C450">
        <v>45</v>
      </c>
      <c r="D450" t="s">
        <v>17</v>
      </c>
      <c r="E450" t="str">
        <f ca="1">IF(Table1[[#This Row],[is_smoker]]=0,"non-smoker","smoker")</f>
        <v>non-smoker</v>
      </c>
      <c r="F450" t="s">
        <v>56</v>
      </c>
      <c r="G450" s="2">
        <v>0.19512195121951201</v>
      </c>
      <c r="H450" s="2">
        <v>513.14485695312806</v>
      </c>
    </row>
    <row r="451" spans="1:8" x14ac:dyDescent="0.3">
      <c r="A451" t="s">
        <v>517</v>
      </c>
      <c r="B451" t="s">
        <v>43</v>
      </c>
      <c r="C451">
        <v>25</v>
      </c>
      <c r="D451" t="s">
        <v>17</v>
      </c>
      <c r="E451" t="str">
        <f ca="1">IF(Table1[[#This Row],[is_smoker]]=0,"non-smoker","smoker")</f>
        <v>non-smoker</v>
      </c>
      <c r="F451" t="s">
        <v>27</v>
      </c>
      <c r="G451" s="2">
        <v>0.53252032520325199</v>
      </c>
      <c r="H451" s="2">
        <v>1614.98061007264</v>
      </c>
    </row>
    <row r="452" spans="1:8" x14ac:dyDescent="0.3">
      <c r="A452" t="s">
        <v>518</v>
      </c>
      <c r="B452" t="s">
        <v>43</v>
      </c>
      <c r="C452">
        <v>56</v>
      </c>
      <c r="D452" t="s">
        <v>17</v>
      </c>
      <c r="E452" t="str">
        <f ca="1">IF(Table1[[#This Row],[is_smoker]]=0,"non-smoker","smoker")</f>
        <v>non-smoker</v>
      </c>
      <c r="F452" t="s">
        <v>19</v>
      </c>
      <c r="G452" s="2">
        <v>1.11788617886178</v>
      </c>
      <c r="H452" s="2">
        <v>2718.2408602740002</v>
      </c>
    </row>
    <row r="453" spans="1:8" x14ac:dyDescent="0.3">
      <c r="A453" t="s">
        <v>519</v>
      </c>
      <c r="B453" t="s">
        <v>50</v>
      </c>
      <c r="C453">
        <v>53</v>
      </c>
      <c r="D453" t="s">
        <v>17</v>
      </c>
      <c r="E453" t="str">
        <f ca="1">IF(Table1[[#This Row],[is_smoker]]=0,"non-smoker","smoker")</f>
        <v>non-smoker</v>
      </c>
      <c r="F453" t="s">
        <v>27</v>
      </c>
      <c r="G453" s="2">
        <v>0.53252032520325199</v>
      </c>
      <c r="H453" s="2">
        <v>1322.85160724859</v>
      </c>
    </row>
    <row r="454" spans="1:8" x14ac:dyDescent="0.3">
      <c r="A454" t="s">
        <v>520</v>
      </c>
      <c r="B454" t="s">
        <v>16</v>
      </c>
      <c r="C454">
        <v>24</v>
      </c>
      <c r="D454" t="s">
        <v>17</v>
      </c>
      <c r="E454" t="str">
        <f ca="1">IF(Table1[[#This Row],[is_smoker]]=0,"non-smoker","smoker")</f>
        <v>non-smoker</v>
      </c>
      <c r="F454" t="s">
        <v>56</v>
      </c>
      <c r="G454" s="2">
        <v>0.19512195121951201</v>
      </c>
      <c r="H454" s="2">
        <v>595.98059280334996</v>
      </c>
    </row>
    <row r="455" spans="1:8" x14ac:dyDescent="0.3">
      <c r="A455" t="s">
        <v>521</v>
      </c>
      <c r="B455" t="s">
        <v>35</v>
      </c>
      <c r="C455">
        <v>51</v>
      </c>
      <c r="D455" t="s">
        <v>17</v>
      </c>
      <c r="E455" t="str">
        <f ca="1">IF(Table1[[#This Row],[is_smoker]]=0,"non-smoker","smoker")</f>
        <v>non-smoker</v>
      </c>
      <c r="F455" t="s">
        <v>56</v>
      </c>
      <c r="G455" s="2">
        <v>0.19512195121951201</v>
      </c>
      <c r="H455" s="2">
        <v>491.66670381320398</v>
      </c>
    </row>
    <row r="456" spans="1:8" x14ac:dyDescent="0.3">
      <c r="A456" t="s">
        <v>522</v>
      </c>
      <c r="B456" t="s">
        <v>37</v>
      </c>
      <c r="C456">
        <v>56</v>
      </c>
      <c r="D456" t="s">
        <v>17</v>
      </c>
      <c r="E456" t="str">
        <f ca="1">IF(Table1[[#This Row],[is_smoker]]=0,"non-smoker","smoker")</f>
        <v>non-smoker</v>
      </c>
      <c r="F456" t="s">
        <v>2004</v>
      </c>
      <c r="G456" s="2">
        <v>1.2073170731707299</v>
      </c>
      <c r="H456" s="2">
        <v>2935.7001290959201</v>
      </c>
    </row>
    <row r="457" spans="1:8" x14ac:dyDescent="0.3">
      <c r="A457" t="s">
        <v>523</v>
      </c>
      <c r="B457" t="s">
        <v>113</v>
      </c>
      <c r="C457">
        <v>50</v>
      </c>
      <c r="D457" t="s">
        <v>10</v>
      </c>
      <c r="E457" t="str">
        <f ca="1">IF(Table1[[#This Row],[is_smoker]]=0,"non-smoker","smoker")</f>
        <v>non-smoker</v>
      </c>
      <c r="F457" t="s">
        <v>24</v>
      </c>
      <c r="G457" s="2">
        <v>1.70325203252032</v>
      </c>
      <c r="H457" s="2">
        <v>1501.56808484459</v>
      </c>
    </row>
    <row r="458" spans="1:8" x14ac:dyDescent="0.3">
      <c r="A458" t="s">
        <v>524</v>
      </c>
      <c r="B458" t="s">
        <v>50</v>
      </c>
      <c r="C458">
        <v>58</v>
      </c>
      <c r="D458" t="s">
        <v>10</v>
      </c>
      <c r="E458" t="str">
        <f ca="1">IF(Table1[[#This Row],[is_smoker]]=0,"non-smoker","smoker")</f>
        <v>non-smoker</v>
      </c>
      <c r="F458" t="s">
        <v>48</v>
      </c>
      <c r="G458" s="2">
        <v>0.46341463414634099</v>
      </c>
      <c r="H458" s="2">
        <v>385.90192758844302</v>
      </c>
    </row>
    <row r="459" spans="1:8" x14ac:dyDescent="0.3">
      <c r="A459" t="s">
        <v>525</v>
      </c>
      <c r="B459" t="s">
        <v>50</v>
      </c>
      <c r="C459">
        <v>55</v>
      </c>
      <c r="D459" t="s">
        <v>10</v>
      </c>
      <c r="E459" t="str">
        <f ca="1">IF(Table1[[#This Row],[is_smoker]]=0,"non-smoker","smoker")</f>
        <v>non-smoker</v>
      </c>
      <c r="F459" t="s">
        <v>27</v>
      </c>
      <c r="G459" s="2">
        <v>0.53252032520325199</v>
      </c>
      <c r="H459" s="2">
        <v>453.03106501551599</v>
      </c>
    </row>
    <row r="460" spans="1:8" x14ac:dyDescent="0.3">
      <c r="A460" s="1" t="s">
        <v>526</v>
      </c>
      <c r="B460" t="s">
        <v>33</v>
      </c>
      <c r="C460">
        <v>24</v>
      </c>
      <c r="D460" t="s">
        <v>10</v>
      </c>
      <c r="E460" t="str">
        <f ca="1">IF(Table1[[#This Row],[is_smoker]]=0,"non-smoker","smoker")</f>
        <v>non-smoker</v>
      </c>
      <c r="F460" t="s">
        <v>48</v>
      </c>
      <c r="G460" s="2">
        <v>0.46341463414634099</v>
      </c>
      <c r="H460" s="2">
        <v>491.70238302393699</v>
      </c>
    </row>
    <row r="461" spans="1:8" x14ac:dyDescent="0.3">
      <c r="A461" s="1" t="s">
        <v>527</v>
      </c>
      <c r="B461" t="s">
        <v>53</v>
      </c>
      <c r="C461">
        <v>40</v>
      </c>
      <c r="D461" t="s">
        <v>17</v>
      </c>
      <c r="E461" t="str">
        <f ca="1">IF(Table1[[#This Row],[is_smoker]]=0,"non-smoker","smoker")</f>
        <v>non-smoker</v>
      </c>
      <c r="F461" t="s">
        <v>27</v>
      </c>
      <c r="G461" s="2">
        <v>0.53252032520325199</v>
      </c>
      <c r="H461" s="2">
        <v>1451.2570991288201</v>
      </c>
    </row>
    <row r="462" spans="1:8" x14ac:dyDescent="0.3">
      <c r="A462" t="s">
        <v>528</v>
      </c>
      <c r="B462" t="s">
        <v>29</v>
      </c>
      <c r="C462">
        <v>44</v>
      </c>
      <c r="D462" t="s">
        <v>10</v>
      </c>
      <c r="E462" t="str">
        <f ca="1">IF(Table1[[#This Row],[is_smoker]]=0,"non-smoker","smoker")</f>
        <v>non-smoker</v>
      </c>
      <c r="F462" t="s">
        <v>11</v>
      </c>
      <c r="G462" s="2">
        <v>1.1544715447154399</v>
      </c>
      <c r="H462" s="2">
        <v>1062.2299152442199</v>
      </c>
    </row>
    <row r="463" spans="1:8" x14ac:dyDescent="0.3">
      <c r="A463" t="s">
        <v>529</v>
      </c>
      <c r="B463" t="s">
        <v>13</v>
      </c>
      <c r="C463">
        <v>46</v>
      </c>
      <c r="D463" t="s">
        <v>17</v>
      </c>
      <c r="E463" t="str">
        <f ca="1">IF(Table1[[#This Row],[is_smoker]]=0,"non-smoker","smoker")</f>
        <v>non-smoker</v>
      </c>
      <c r="F463" t="s">
        <v>56</v>
      </c>
      <c r="G463" s="2">
        <v>0.19512195121951201</v>
      </c>
      <c r="H463" s="2">
        <v>509.50108925944699</v>
      </c>
    </row>
    <row r="464" spans="1:8" x14ac:dyDescent="0.3">
      <c r="A464" s="1" t="s">
        <v>530</v>
      </c>
      <c r="B464" t="s">
        <v>31</v>
      </c>
      <c r="C464">
        <v>36</v>
      </c>
      <c r="D464" t="s">
        <v>17</v>
      </c>
      <c r="E464" t="str">
        <f ca="1">IF(Table1[[#This Row],[is_smoker]]=0,"non-smoker","smoker")</f>
        <v>non-smoker</v>
      </c>
      <c r="F464" t="s">
        <v>24</v>
      </c>
      <c r="G464" s="2">
        <v>1.70325203252032</v>
      </c>
      <c r="H464" s="2">
        <v>4776.0244259762903</v>
      </c>
    </row>
    <row r="465" spans="1:8" x14ac:dyDescent="0.3">
      <c r="A465" t="s">
        <v>531</v>
      </c>
      <c r="B465" t="s">
        <v>50</v>
      </c>
      <c r="C465">
        <v>45</v>
      </c>
      <c r="D465" t="s">
        <v>17</v>
      </c>
      <c r="E465" t="str">
        <f ca="1">IF(Table1[[#This Row],[is_smoker]]=0,"non-smoker","smoker")</f>
        <v>non-smoker</v>
      </c>
      <c r="F465" t="s">
        <v>2004</v>
      </c>
      <c r="G465" s="2">
        <v>1.2073170731707299</v>
      </c>
      <c r="H465" s="2">
        <v>3175.0838023974802</v>
      </c>
    </row>
    <row r="466" spans="1:8" x14ac:dyDescent="0.3">
      <c r="A466" t="s">
        <v>532</v>
      </c>
      <c r="B466" t="s">
        <v>113</v>
      </c>
      <c r="C466">
        <v>60</v>
      </c>
      <c r="D466" t="s">
        <v>17</v>
      </c>
      <c r="E466" t="str">
        <f ca="1">IF(Table1[[#This Row],[is_smoker]]=0,"non-smoker","smoker")</f>
        <v>non-smoker</v>
      </c>
      <c r="F466" t="s">
        <v>24</v>
      </c>
      <c r="G466" s="2">
        <v>1.70325203252032</v>
      </c>
      <c r="H466" s="2">
        <v>4025.22175139811</v>
      </c>
    </row>
    <row r="467" spans="1:8" x14ac:dyDescent="0.3">
      <c r="A467" t="s">
        <v>533</v>
      </c>
      <c r="B467" t="s">
        <v>113</v>
      </c>
      <c r="C467">
        <v>54</v>
      </c>
      <c r="D467" t="s">
        <v>10</v>
      </c>
      <c r="E467" t="str">
        <f ca="1">IF(Table1[[#This Row],[is_smoker]]=0,"non-smoker","smoker")</f>
        <v>non-smoker</v>
      </c>
      <c r="F467" t="s">
        <v>24</v>
      </c>
      <c r="G467" s="2">
        <v>1.70325203252032</v>
      </c>
      <c r="H467" s="2">
        <v>1459.37053748464</v>
      </c>
    </row>
    <row r="468" spans="1:8" x14ac:dyDescent="0.3">
      <c r="A468" t="s">
        <v>534</v>
      </c>
      <c r="B468" t="s">
        <v>35</v>
      </c>
      <c r="C468">
        <v>55</v>
      </c>
      <c r="D468" t="s">
        <v>10</v>
      </c>
      <c r="E468" t="str">
        <f ca="1">IF(Table1[[#This Row],[is_smoker]]=0,"non-smoker","smoker")</f>
        <v>non-smoker</v>
      </c>
      <c r="F468" t="s">
        <v>24</v>
      </c>
      <c r="G468" s="2">
        <v>1.70325203252032</v>
      </c>
      <c r="H468" s="2">
        <v>1449.0077575687101</v>
      </c>
    </row>
    <row r="469" spans="1:8" x14ac:dyDescent="0.3">
      <c r="A469" t="s">
        <v>535</v>
      </c>
      <c r="B469" t="s">
        <v>50</v>
      </c>
      <c r="C469">
        <v>31</v>
      </c>
      <c r="D469" t="s">
        <v>17</v>
      </c>
      <c r="E469" t="str">
        <f ca="1">IF(Table1[[#This Row],[is_smoker]]=0,"non-smoker","smoker")</f>
        <v>non-smoker</v>
      </c>
      <c r="F469" t="s">
        <v>48</v>
      </c>
      <c r="G469" s="2">
        <v>0.46341463414634099</v>
      </c>
      <c r="H469" s="2">
        <v>1346.5785308404199</v>
      </c>
    </row>
    <row r="470" spans="1:8" x14ac:dyDescent="0.3">
      <c r="A470" t="s">
        <v>536</v>
      </c>
      <c r="B470" t="s">
        <v>175</v>
      </c>
      <c r="C470">
        <v>53</v>
      </c>
      <c r="D470" t="s">
        <v>17</v>
      </c>
      <c r="E470" t="str">
        <f ca="1">IF(Table1[[#This Row],[is_smoker]]=0,"non-smoker","smoker")</f>
        <v>non-smoker</v>
      </c>
      <c r="F470" t="s">
        <v>27</v>
      </c>
      <c r="G470" s="2">
        <v>0.53252032520325199</v>
      </c>
      <c r="H470" s="2">
        <v>1322.85160724859</v>
      </c>
    </row>
    <row r="471" spans="1:8" x14ac:dyDescent="0.3">
      <c r="A471" t="s">
        <v>537</v>
      </c>
      <c r="B471" t="s">
        <v>175</v>
      </c>
      <c r="C471">
        <v>45</v>
      </c>
      <c r="D471" t="s">
        <v>17</v>
      </c>
      <c r="E471" t="str">
        <f ca="1">IF(Table1[[#This Row],[is_smoker]]=0,"non-smoker","smoker")</f>
        <v>non-smoker</v>
      </c>
      <c r="F471" t="s">
        <v>61</v>
      </c>
      <c r="G471" s="2">
        <v>1.61788617886178</v>
      </c>
      <c r="H471" s="2">
        <v>4254.8261055696903</v>
      </c>
    </row>
    <row r="472" spans="1:8" x14ac:dyDescent="0.3">
      <c r="A472" t="s">
        <v>538</v>
      </c>
      <c r="B472" t="s">
        <v>29</v>
      </c>
      <c r="C472">
        <v>18</v>
      </c>
      <c r="D472" t="s">
        <v>17</v>
      </c>
      <c r="E472" t="str">
        <f ca="1">IF(Table1[[#This Row],[is_smoker]]=0,"non-smoker","smoker")</f>
        <v>non-smoker</v>
      </c>
      <c r="F472" t="s">
        <v>11</v>
      </c>
      <c r="G472" s="2">
        <v>1.1544715447154399</v>
      </c>
      <c r="H472" s="2">
        <v>3680.2591624404099</v>
      </c>
    </row>
    <row r="473" spans="1:8" x14ac:dyDescent="0.3">
      <c r="A473" t="s">
        <v>539</v>
      </c>
      <c r="B473" t="s">
        <v>243</v>
      </c>
      <c r="C473">
        <v>46</v>
      </c>
      <c r="D473" t="s">
        <v>10</v>
      </c>
      <c r="E473" t="str">
        <f ca="1">IF(Table1[[#This Row],[is_smoker]]=0,"non-smoker","smoker")</f>
        <v>non-smoker</v>
      </c>
      <c r="F473" t="s">
        <v>14</v>
      </c>
      <c r="G473" s="2">
        <v>0.66666666666666596</v>
      </c>
      <c r="H473" s="2">
        <v>604.71996721590199</v>
      </c>
    </row>
    <row r="474" spans="1:8" x14ac:dyDescent="0.3">
      <c r="A474" t="s">
        <v>540</v>
      </c>
      <c r="B474" t="s">
        <v>29</v>
      </c>
      <c r="C474">
        <v>21</v>
      </c>
      <c r="D474" t="s">
        <v>17</v>
      </c>
      <c r="E474" t="str">
        <f ca="1">IF(Table1[[#This Row],[is_smoker]]=0,"non-smoker","smoker")</f>
        <v>non-smoker</v>
      </c>
      <c r="F474" t="s">
        <v>24</v>
      </c>
      <c r="G474" s="2">
        <v>1.70325203252032</v>
      </c>
      <c r="H474" s="2">
        <v>5314.8314284320704</v>
      </c>
    </row>
    <row r="475" spans="1:8" x14ac:dyDescent="0.3">
      <c r="A475" t="s">
        <v>541</v>
      </c>
      <c r="B475" t="s">
        <v>16</v>
      </c>
      <c r="C475">
        <v>29</v>
      </c>
      <c r="D475" t="s">
        <v>10</v>
      </c>
      <c r="E475" t="str">
        <f ca="1">IF(Table1[[#This Row],[is_smoker]]=0,"non-smoker","smoker")</f>
        <v>non-smoker</v>
      </c>
      <c r="F475" t="s">
        <v>19</v>
      </c>
      <c r="G475" s="2">
        <v>1.11788617886178</v>
      </c>
      <c r="H475" s="2">
        <v>1144.6055230537299</v>
      </c>
    </row>
    <row r="476" spans="1:8" x14ac:dyDescent="0.3">
      <c r="A476" t="s">
        <v>542</v>
      </c>
      <c r="B476" t="s">
        <v>113</v>
      </c>
      <c r="C476">
        <v>19</v>
      </c>
      <c r="D476" t="s">
        <v>10</v>
      </c>
      <c r="E476" t="str">
        <f ca="1">IF(Table1[[#This Row],[is_smoker]]=0,"non-smoker","smoker")</f>
        <v>non-smoker</v>
      </c>
      <c r="F476" t="s">
        <v>48</v>
      </c>
      <c r="G476" s="2">
        <v>0.46341463414634099</v>
      </c>
      <c r="H476" s="2">
        <v>509.53806267373602</v>
      </c>
    </row>
    <row r="477" spans="1:8" x14ac:dyDescent="0.3">
      <c r="A477" t="s">
        <v>543</v>
      </c>
      <c r="B477" t="s">
        <v>43</v>
      </c>
      <c r="C477">
        <v>49</v>
      </c>
      <c r="D477" t="s">
        <v>17</v>
      </c>
      <c r="E477" t="str">
        <f ca="1">IF(Table1[[#This Row],[is_smoker]]=0,"non-smoker","smoker")</f>
        <v>non-smoker</v>
      </c>
      <c r="F477" t="s">
        <v>2004</v>
      </c>
      <c r="G477" s="2">
        <v>1.2073170731707299</v>
      </c>
      <c r="H477" s="2">
        <v>3085.8565802183698</v>
      </c>
    </row>
    <row r="478" spans="1:8" x14ac:dyDescent="0.3">
      <c r="A478" t="s">
        <v>544</v>
      </c>
      <c r="B478" t="s">
        <v>13</v>
      </c>
      <c r="C478">
        <v>53</v>
      </c>
      <c r="D478" t="s">
        <v>17</v>
      </c>
      <c r="E478" t="str">
        <f ca="1">IF(Table1[[#This Row],[is_smoker]]=0,"non-smoker","smoker")</f>
        <v>non-smoker</v>
      </c>
      <c r="F478" t="s">
        <v>14</v>
      </c>
      <c r="G478" s="2">
        <v>0.66666666666666596</v>
      </c>
      <c r="H478" s="2">
        <v>1656.08903502877</v>
      </c>
    </row>
    <row r="479" spans="1:8" x14ac:dyDescent="0.3">
      <c r="A479" t="s">
        <v>545</v>
      </c>
      <c r="B479" t="s">
        <v>16</v>
      </c>
      <c r="C479">
        <v>63</v>
      </c>
      <c r="D479" t="s">
        <v>10</v>
      </c>
      <c r="E479" t="str">
        <f ca="1">IF(Table1[[#This Row],[is_smoker]]=0,"non-smoker","smoker")</f>
        <v>non-smoker</v>
      </c>
      <c r="F479" t="s">
        <v>61</v>
      </c>
      <c r="G479" s="2">
        <v>1.61788617886178</v>
      </c>
      <c r="H479" s="2">
        <v>1300.1122495975501</v>
      </c>
    </row>
    <row r="480" spans="1:8" x14ac:dyDescent="0.3">
      <c r="A480" t="s">
        <v>546</v>
      </c>
      <c r="B480" t="s">
        <v>113</v>
      </c>
      <c r="C480">
        <v>31</v>
      </c>
      <c r="D480" t="s">
        <v>10</v>
      </c>
      <c r="E480" t="str">
        <f ca="1">IF(Table1[[#This Row],[is_smoker]]=0,"non-smoker","smoker")</f>
        <v>non-smoker</v>
      </c>
      <c r="F480" t="s">
        <v>19</v>
      </c>
      <c r="G480" s="2">
        <v>1.11788617886178</v>
      </c>
      <c r="H480" s="2">
        <v>1128.40787872894</v>
      </c>
    </row>
    <row r="481" spans="1:8" x14ac:dyDescent="0.3">
      <c r="A481" t="s">
        <v>547</v>
      </c>
      <c r="B481" t="s">
        <v>113</v>
      </c>
      <c r="C481">
        <v>31</v>
      </c>
      <c r="D481" t="s">
        <v>17</v>
      </c>
      <c r="E481" t="str">
        <f ca="1">IF(Table1[[#This Row],[is_smoker]]=0,"non-smoker","smoker")</f>
        <v>non-smoker</v>
      </c>
      <c r="F481" t="s">
        <v>61</v>
      </c>
      <c r="G481" s="2">
        <v>1.61788617886178</v>
      </c>
      <c r="H481" s="2">
        <v>4701.2127655656896</v>
      </c>
    </row>
    <row r="482" spans="1:8" x14ac:dyDescent="0.3">
      <c r="A482" t="s">
        <v>548</v>
      </c>
      <c r="B482" t="s">
        <v>29</v>
      </c>
      <c r="C482">
        <v>23</v>
      </c>
      <c r="D482" t="s">
        <v>17</v>
      </c>
      <c r="E482" t="str">
        <f ca="1">IF(Table1[[#This Row],[is_smoker]]=0,"non-smoker","smoker")</f>
        <v>non-smoker</v>
      </c>
      <c r="F482" t="s">
        <v>14</v>
      </c>
      <c r="G482" s="2">
        <v>0.66666666666666596</v>
      </c>
      <c r="H482" s="2">
        <v>2050.8296714181201</v>
      </c>
    </row>
    <row r="483" spans="1:8" x14ac:dyDescent="0.3">
      <c r="A483" t="s">
        <v>549</v>
      </c>
      <c r="B483" t="s">
        <v>46</v>
      </c>
      <c r="C483">
        <v>19</v>
      </c>
      <c r="D483" t="s">
        <v>17</v>
      </c>
      <c r="E483" t="str">
        <f ca="1">IF(Table1[[#This Row],[is_smoker]]=0,"non-smoker","smoker")</f>
        <v>non-smoker</v>
      </c>
      <c r="F483" t="s">
        <v>24</v>
      </c>
      <c r="G483" s="2">
        <v>1.70325203252032</v>
      </c>
      <c r="H483" s="2">
        <v>5391.1227684224696</v>
      </c>
    </row>
    <row r="484" spans="1:8" x14ac:dyDescent="0.3">
      <c r="A484" t="s">
        <v>550</v>
      </c>
      <c r="B484" t="s">
        <v>50</v>
      </c>
      <c r="C484">
        <v>20</v>
      </c>
      <c r="D484" t="s">
        <v>10</v>
      </c>
      <c r="E484" t="str">
        <f ca="1">IF(Table1[[#This Row],[is_smoker]]=0,"non-smoker","smoker")</f>
        <v>non-smoker</v>
      </c>
      <c r="F484" t="s">
        <v>19</v>
      </c>
      <c r="G484" s="2">
        <v>1.11788617886178</v>
      </c>
      <c r="H484" s="2">
        <v>1220.42082661668</v>
      </c>
    </row>
    <row r="485" spans="1:8" x14ac:dyDescent="0.3">
      <c r="A485" t="s">
        <v>551</v>
      </c>
      <c r="B485" t="s">
        <v>50</v>
      </c>
      <c r="C485">
        <v>37</v>
      </c>
      <c r="D485" t="s">
        <v>10</v>
      </c>
      <c r="E485" t="str">
        <f ca="1">IF(Table1[[#This Row],[is_smoker]]=0,"non-smoker","smoker")</f>
        <v>non-smoker</v>
      </c>
      <c r="F485" t="s">
        <v>61</v>
      </c>
      <c r="G485" s="2">
        <v>1.61788617886178</v>
      </c>
      <c r="H485" s="2">
        <v>1564.7584516254201</v>
      </c>
    </row>
    <row r="486" spans="1:8" x14ac:dyDescent="0.3">
      <c r="A486" t="s">
        <v>552</v>
      </c>
      <c r="B486" t="s">
        <v>60</v>
      </c>
      <c r="C486">
        <v>41</v>
      </c>
      <c r="D486" t="s">
        <v>10</v>
      </c>
      <c r="E486" t="str">
        <f ca="1">IF(Table1[[#This Row],[is_smoker]]=0,"non-smoker","smoker")</f>
        <v>non-smoker</v>
      </c>
      <c r="F486" t="s">
        <v>2004</v>
      </c>
      <c r="G486" s="2">
        <v>1.2073170731707299</v>
      </c>
      <c r="H486" s="2">
        <v>1134.8572290838899</v>
      </c>
    </row>
    <row r="487" spans="1:8" x14ac:dyDescent="0.3">
      <c r="A487" t="s">
        <v>553</v>
      </c>
      <c r="B487" t="s">
        <v>50</v>
      </c>
      <c r="C487">
        <v>21</v>
      </c>
      <c r="D487" t="s">
        <v>10</v>
      </c>
      <c r="E487" t="str">
        <f ca="1">IF(Table1[[#This Row],[is_smoker]]=0,"non-smoker","smoker")</f>
        <v>non-smoker</v>
      </c>
      <c r="F487" t="s">
        <v>27</v>
      </c>
      <c r="G487" s="2">
        <v>0.53252032520325199</v>
      </c>
      <c r="H487" s="2">
        <v>577.23592013141297</v>
      </c>
    </row>
    <row r="488" spans="1:8" x14ac:dyDescent="0.3">
      <c r="A488" t="s">
        <v>554</v>
      </c>
      <c r="B488" t="s">
        <v>113</v>
      </c>
      <c r="C488">
        <v>40</v>
      </c>
      <c r="D488" t="s">
        <v>10</v>
      </c>
      <c r="E488" t="str">
        <f ca="1">IF(Table1[[#This Row],[is_smoker]]=0,"non-smoker","smoker")</f>
        <v>non-smoker</v>
      </c>
      <c r="F488" t="s">
        <v>56</v>
      </c>
      <c r="G488" s="2">
        <v>0.19512195121951201</v>
      </c>
      <c r="H488" s="2">
        <v>184.722960473744</v>
      </c>
    </row>
    <row r="489" spans="1:8" x14ac:dyDescent="0.3">
      <c r="A489" t="s">
        <v>555</v>
      </c>
      <c r="B489" t="s">
        <v>29</v>
      </c>
      <c r="C489">
        <v>20</v>
      </c>
      <c r="D489" t="s">
        <v>10</v>
      </c>
      <c r="E489" t="str">
        <f ca="1">IF(Table1[[#This Row],[is_smoker]]=0,"non-smoker","smoker")</f>
        <v>non-smoker</v>
      </c>
      <c r="F489" t="s">
        <v>27</v>
      </c>
      <c r="G489" s="2">
        <v>0.53252032520325199</v>
      </c>
      <c r="H489" s="2">
        <v>581.36410286104001</v>
      </c>
    </row>
    <row r="490" spans="1:8" x14ac:dyDescent="0.3">
      <c r="A490" t="s">
        <v>556</v>
      </c>
      <c r="B490" t="s">
        <v>82</v>
      </c>
      <c r="C490">
        <v>50</v>
      </c>
      <c r="D490" t="s">
        <v>10</v>
      </c>
      <c r="E490" t="str">
        <f ca="1">IF(Table1[[#This Row],[is_smoker]]=0,"non-smoker","smoker")</f>
        <v>non-smoker</v>
      </c>
      <c r="F490" t="s">
        <v>14</v>
      </c>
      <c r="G490" s="2">
        <v>0.66666666666666596</v>
      </c>
      <c r="H490" s="2">
        <v>587.72593297019898</v>
      </c>
    </row>
    <row r="491" spans="1:8" x14ac:dyDescent="0.3">
      <c r="A491" t="s">
        <v>557</v>
      </c>
      <c r="B491" t="s">
        <v>13</v>
      </c>
      <c r="C491">
        <v>48</v>
      </c>
      <c r="D491" t="s">
        <v>17</v>
      </c>
      <c r="E491" t="str">
        <f ca="1">IF(Table1[[#This Row],[is_smoker]]=0,"non-smoker","smoker")</f>
        <v>non-smoker</v>
      </c>
      <c r="F491" t="s">
        <v>48</v>
      </c>
      <c r="G491" s="2">
        <v>0.46341463414634099</v>
      </c>
      <c r="H491" s="2">
        <v>1192.94110541486</v>
      </c>
    </row>
    <row r="492" spans="1:8" x14ac:dyDescent="0.3">
      <c r="A492" t="s">
        <v>558</v>
      </c>
      <c r="B492" t="s">
        <v>60</v>
      </c>
      <c r="C492">
        <v>51</v>
      </c>
      <c r="D492" t="s">
        <v>17</v>
      </c>
      <c r="E492" t="str">
        <f ca="1">IF(Table1[[#This Row],[is_smoker]]=0,"non-smoker","smoker")</f>
        <v>non-smoker</v>
      </c>
      <c r="F492" t="s">
        <v>56</v>
      </c>
      <c r="G492" s="2">
        <v>0.19512195121951201</v>
      </c>
      <c r="H492" s="2">
        <v>491.66670381320398</v>
      </c>
    </row>
    <row r="493" spans="1:8" x14ac:dyDescent="0.3">
      <c r="A493" t="s">
        <v>559</v>
      </c>
      <c r="B493" t="s">
        <v>92</v>
      </c>
      <c r="C493">
        <v>27</v>
      </c>
      <c r="D493" t="s">
        <v>17</v>
      </c>
      <c r="E493" t="str">
        <f ca="1">IF(Table1[[#This Row],[is_smoker]]=0,"non-smoker","smoker")</f>
        <v>non-smoker</v>
      </c>
      <c r="F493" t="s">
        <v>11</v>
      </c>
      <c r="G493" s="2">
        <v>1.1544715447154399</v>
      </c>
      <c r="H493" s="2">
        <v>3451.6331348395101</v>
      </c>
    </row>
    <row r="494" spans="1:8" x14ac:dyDescent="0.3">
      <c r="A494" s="1" t="s">
        <v>560</v>
      </c>
      <c r="B494" t="s">
        <v>16</v>
      </c>
      <c r="C494">
        <v>46</v>
      </c>
      <c r="D494" t="s">
        <v>10</v>
      </c>
      <c r="E494" t="str">
        <f ca="1">IF(Table1[[#This Row],[is_smoker]]=0,"non-smoker","smoker")</f>
        <v>non-smoker</v>
      </c>
      <c r="F494" t="s">
        <v>2004</v>
      </c>
      <c r="G494" s="2">
        <v>1.2073170731707299</v>
      </c>
      <c r="H494" s="2">
        <v>1095.1331113604999</v>
      </c>
    </row>
    <row r="495" spans="1:8" x14ac:dyDescent="0.3">
      <c r="A495" t="s">
        <v>561</v>
      </c>
      <c r="B495" t="s">
        <v>175</v>
      </c>
      <c r="C495">
        <v>29</v>
      </c>
      <c r="D495" t="s">
        <v>10</v>
      </c>
      <c r="E495" t="str">
        <f ca="1">IF(Table1[[#This Row],[is_smoker]]=0,"non-smoker","smoker")</f>
        <v>non-smoker</v>
      </c>
      <c r="F495" t="s">
        <v>11</v>
      </c>
      <c r="G495" s="2">
        <v>1.1544715447154399</v>
      </c>
      <c r="H495" s="2">
        <v>1182.06534017185</v>
      </c>
    </row>
    <row r="496" spans="1:8" x14ac:dyDescent="0.3">
      <c r="A496" t="s">
        <v>562</v>
      </c>
      <c r="B496" t="s">
        <v>113</v>
      </c>
      <c r="C496">
        <v>18</v>
      </c>
      <c r="D496" t="s">
        <v>17</v>
      </c>
      <c r="E496" t="str">
        <f ca="1">IF(Table1[[#This Row],[is_smoker]]=0,"non-smoker","smoker")</f>
        <v>non-smoker</v>
      </c>
      <c r="F496" t="s">
        <v>19</v>
      </c>
      <c r="G496" s="2">
        <v>1.11788617886178</v>
      </c>
      <c r="H496" s="2">
        <v>3563.6312312363102</v>
      </c>
    </row>
    <row r="497" spans="1:8" x14ac:dyDescent="0.3">
      <c r="A497" t="s">
        <v>563</v>
      </c>
      <c r="B497" t="s">
        <v>31</v>
      </c>
      <c r="C497">
        <v>38</v>
      </c>
      <c r="D497" t="s">
        <v>10</v>
      </c>
      <c r="E497" t="str">
        <f ca="1">IF(Table1[[#This Row],[is_smoker]]=0,"non-smoker","smoker")</f>
        <v>non-smoker</v>
      </c>
      <c r="F497" t="s">
        <v>56</v>
      </c>
      <c r="G497" s="2">
        <v>0.19512195121951201</v>
      </c>
      <c r="H497" s="2">
        <v>187.37455203808699</v>
      </c>
    </row>
    <row r="498" spans="1:8" x14ac:dyDescent="0.3">
      <c r="A498" t="s">
        <v>564</v>
      </c>
      <c r="B498" t="s">
        <v>43</v>
      </c>
      <c r="C498">
        <v>31</v>
      </c>
      <c r="D498" t="s">
        <v>10</v>
      </c>
      <c r="E498" t="str">
        <f ca="1">IF(Table1[[#This Row],[is_smoker]]=0,"non-smoker","smoker")</f>
        <v>non-smoker</v>
      </c>
      <c r="F498" t="s">
        <v>11</v>
      </c>
      <c r="G498" s="2">
        <v>1.1544715447154399</v>
      </c>
      <c r="H498" s="2">
        <v>1165.3375911236999</v>
      </c>
    </row>
    <row r="499" spans="1:8" x14ac:dyDescent="0.3">
      <c r="A499" t="s">
        <v>565</v>
      </c>
      <c r="B499" t="s">
        <v>178</v>
      </c>
      <c r="C499">
        <v>54</v>
      </c>
      <c r="D499" t="s">
        <v>10</v>
      </c>
      <c r="E499" t="str">
        <f ca="1">IF(Table1[[#This Row],[is_smoker]]=0,"non-smoker","smoker")</f>
        <v>non-smoker</v>
      </c>
      <c r="F499" t="s">
        <v>11</v>
      </c>
      <c r="G499" s="2">
        <v>1.1544715447154399</v>
      </c>
      <c r="H499" s="2">
        <v>989.167619679327</v>
      </c>
    </row>
    <row r="500" spans="1:8" x14ac:dyDescent="0.3">
      <c r="A500" t="s">
        <v>566</v>
      </c>
      <c r="B500" t="s">
        <v>170</v>
      </c>
      <c r="C500">
        <v>39</v>
      </c>
      <c r="D500" t="s">
        <v>17</v>
      </c>
      <c r="E500" t="str">
        <f ca="1">IF(Table1[[#This Row],[is_smoker]]=0,"non-smoker","smoker")</f>
        <v>non-smoker</v>
      </c>
      <c r="F500" t="s">
        <v>61</v>
      </c>
      <c r="G500" s="2">
        <v>1.61788617886178</v>
      </c>
      <c r="H500" s="2">
        <v>4440.6955288403997</v>
      </c>
    </row>
    <row r="501" spans="1:8" x14ac:dyDescent="0.3">
      <c r="A501" t="s">
        <v>567</v>
      </c>
      <c r="B501" t="s">
        <v>43</v>
      </c>
      <c r="C501">
        <v>63</v>
      </c>
      <c r="D501" t="s">
        <v>17</v>
      </c>
      <c r="E501" t="str">
        <f ca="1">IF(Table1[[#This Row],[is_smoker]]=0,"non-smoker","smoker")</f>
        <v>non-smoker</v>
      </c>
      <c r="F501" t="s">
        <v>27</v>
      </c>
      <c r="G501" s="2">
        <v>0.53252032520325199</v>
      </c>
      <c r="H501" s="2">
        <v>1231.8632310691401</v>
      </c>
    </row>
    <row r="502" spans="1:8" x14ac:dyDescent="0.3">
      <c r="A502" t="s">
        <v>568</v>
      </c>
      <c r="B502" t="s">
        <v>50</v>
      </c>
      <c r="C502">
        <v>63</v>
      </c>
      <c r="D502" t="s">
        <v>10</v>
      </c>
      <c r="E502" t="str">
        <f ca="1">IF(Table1[[#This Row],[is_smoker]]=0,"non-smoker","smoker")</f>
        <v>non-smoker</v>
      </c>
      <c r="F502" t="s">
        <v>61</v>
      </c>
      <c r="G502" s="2">
        <v>1.61788617886178</v>
      </c>
      <c r="H502" s="2">
        <v>1300.1122495975501</v>
      </c>
    </row>
    <row r="503" spans="1:8" x14ac:dyDescent="0.3">
      <c r="A503" t="s">
        <v>569</v>
      </c>
      <c r="B503" t="s">
        <v>37</v>
      </c>
      <c r="C503">
        <v>24</v>
      </c>
      <c r="D503" t="s">
        <v>17</v>
      </c>
      <c r="E503" t="str">
        <f ca="1">IF(Table1[[#This Row],[is_smoker]]=0,"non-smoker","smoker")</f>
        <v>non-smoker</v>
      </c>
      <c r="F503" t="s">
        <v>56</v>
      </c>
      <c r="G503" s="2">
        <v>0.19512195121951201</v>
      </c>
      <c r="H503" s="2">
        <v>595.98059280334996</v>
      </c>
    </row>
    <row r="504" spans="1:8" x14ac:dyDescent="0.3">
      <c r="A504" t="s">
        <v>570</v>
      </c>
      <c r="B504" t="s">
        <v>29</v>
      </c>
      <c r="C504">
        <v>30</v>
      </c>
      <c r="D504" t="s">
        <v>17</v>
      </c>
      <c r="E504" t="str">
        <f ca="1">IF(Table1[[#This Row],[is_smoker]]=0,"non-smoker","smoker")</f>
        <v>non-smoker</v>
      </c>
      <c r="F504" t="s">
        <v>56</v>
      </c>
      <c r="G504" s="2">
        <v>0.19512195121951201</v>
      </c>
      <c r="H504" s="2">
        <v>571.03527323674996</v>
      </c>
    </row>
    <row r="505" spans="1:8" x14ac:dyDescent="0.3">
      <c r="A505" t="s">
        <v>571</v>
      </c>
      <c r="B505" t="s">
        <v>33</v>
      </c>
      <c r="C505">
        <v>24</v>
      </c>
      <c r="D505" t="s">
        <v>17</v>
      </c>
      <c r="E505" t="str">
        <f ca="1">IF(Table1[[#This Row],[is_smoker]]=0,"non-smoker","smoker")</f>
        <v>non-smoker</v>
      </c>
      <c r="F505" t="s">
        <v>14</v>
      </c>
      <c r="G505" s="2">
        <v>0.66666666666666596</v>
      </c>
      <c r="H505" s="2">
        <v>2036.26702541144</v>
      </c>
    </row>
    <row r="506" spans="1:8" x14ac:dyDescent="0.3">
      <c r="A506" t="s">
        <v>572</v>
      </c>
      <c r="B506" t="s">
        <v>50</v>
      </c>
      <c r="C506">
        <v>29</v>
      </c>
      <c r="D506" t="s">
        <v>17</v>
      </c>
      <c r="E506" t="str">
        <f ca="1">IF(Table1[[#This Row],[is_smoker]]=0,"non-smoker","smoker")</f>
        <v>non-smoker</v>
      </c>
      <c r="F506" t="s">
        <v>61</v>
      </c>
      <c r="G506" s="2">
        <v>1.61788617886178</v>
      </c>
      <c r="H506" s="2">
        <v>4768.69596353624</v>
      </c>
    </row>
    <row r="507" spans="1:8" x14ac:dyDescent="0.3">
      <c r="A507" t="s">
        <v>573</v>
      </c>
      <c r="B507" t="s">
        <v>178</v>
      </c>
      <c r="C507">
        <v>43</v>
      </c>
      <c r="D507" t="s">
        <v>10</v>
      </c>
      <c r="E507" t="str">
        <f ca="1">IF(Table1[[#This Row],[is_smoker]]=0,"non-smoker","smoker")</f>
        <v>non-smoker</v>
      </c>
      <c r="F507" t="s">
        <v>44</v>
      </c>
      <c r="G507" s="2">
        <v>1.1341463414634101</v>
      </c>
      <c r="H507" s="2">
        <v>1050.9916244369499</v>
      </c>
    </row>
    <row r="508" spans="1:8" x14ac:dyDescent="0.3">
      <c r="A508" t="s">
        <v>574</v>
      </c>
      <c r="B508" t="s">
        <v>53</v>
      </c>
      <c r="C508">
        <v>26</v>
      </c>
      <c r="D508" t="s">
        <v>10</v>
      </c>
      <c r="E508" t="str">
        <f ca="1">IF(Table1[[#This Row],[is_smoker]]=0,"non-smoker","smoker")</f>
        <v>non-smoker</v>
      </c>
      <c r="F508" t="s">
        <v>27</v>
      </c>
      <c r="G508" s="2">
        <v>0.53252032520325199</v>
      </c>
      <c r="H508" s="2">
        <v>557.030570015276</v>
      </c>
    </row>
    <row r="509" spans="1:8" x14ac:dyDescent="0.3">
      <c r="A509" t="s">
        <v>575</v>
      </c>
      <c r="B509" t="s">
        <v>92</v>
      </c>
      <c r="C509">
        <v>23</v>
      </c>
      <c r="D509" t="s">
        <v>17</v>
      </c>
      <c r="E509" t="str">
        <f ca="1">IF(Table1[[#This Row],[is_smoker]]=0,"non-smoker","smoker")</f>
        <v>smoker</v>
      </c>
      <c r="F509" t="s">
        <v>56</v>
      </c>
      <c r="G509" s="2">
        <v>0.19512195121951201</v>
      </c>
      <c r="H509" s="2">
        <v>644.60637100705003</v>
      </c>
    </row>
    <row r="510" spans="1:8" x14ac:dyDescent="0.3">
      <c r="A510" t="s">
        <v>576</v>
      </c>
      <c r="B510" t="s">
        <v>82</v>
      </c>
      <c r="C510">
        <v>53</v>
      </c>
      <c r="D510" t="s">
        <v>10</v>
      </c>
      <c r="E510" t="str">
        <f ca="1">IF(Table1[[#This Row],[is_smoker]]=0,"non-smoker","smoker")</f>
        <v>non-smoker</v>
      </c>
      <c r="F510" t="s">
        <v>14</v>
      </c>
      <c r="G510" s="2">
        <v>0.66666666666666596</v>
      </c>
      <c r="H510" s="2">
        <v>575.29455425856895</v>
      </c>
    </row>
    <row r="511" spans="1:8" x14ac:dyDescent="0.3">
      <c r="A511" t="s">
        <v>577</v>
      </c>
      <c r="B511" t="s">
        <v>178</v>
      </c>
      <c r="C511">
        <v>47</v>
      </c>
      <c r="D511" t="s">
        <v>10</v>
      </c>
      <c r="E511" t="str">
        <f ca="1">IF(Table1[[#This Row],[is_smoker]]=0,"non-smoker","smoker")</f>
        <v>non-smoker</v>
      </c>
      <c r="F511" t="s">
        <v>61</v>
      </c>
      <c r="G511" s="2">
        <v>1.61788617886178</v>
      </c>
      <c r="H511" s="2">
        <v>1457.13123943752</v>
      </c>
    </row>
    <row r="512" spans="1:8" x14ac:dyDescent="0.3">
      <c r="A512" t="s">
        <v>578</v>
      </c>
      <c r="B512" t="s">
        <v>175</v>
      </c>
      <c r="C512">
        <v>43</v>
      </c>
      <c r="D512" t="s">
        <v>10</v>
      </c>
      <c r="E512" t="str">
        <f ca="1">IF(Table1[[#This Row],[is_smoker]]=0,"non-smoker","smoker")</f>
        <v>non-smoker</v>
      </c>
      <c r="F512" t="s">
        <v>27</v>
      </c>
      <c r="G512" s="2">
        <v>0.53252032520325199</v>
      </c>
      <c r="H512" s="2">
        <v>493.47635412631001</v>
      </c>
    </row>
    <row r="513" spans="1:8" x14ac:dyDescent="0.3">
      <c r="A513" t="s">
        <v>579</v>
      </c>
      <c r="B513" t="s">
        <v>60</v>
      </c>
      <c r="C513">
        <v>54</v>
      </c>
      <c r="D513" t="s">
        <v>10</v>
      </c>
      <c r="E513" t="str">
        <f ca="1">IF(Table1[[#This Row],[is_smoker]]=0,"non-smoker","smoker")</f>
        <v>non-smoker</v>
      </c>
      <c r="F513" t="s">
        <v>61</v>
      </c>
      <c r="G513" s="2">
        <v>1.61788617886178</v>
      </c>
      <c r="H513" s="2">
        <v>1386.2278613815899</v>
      </c>
    </row>
    <row r="514" spans="1:8" x14ac:dyDescent="0.3">
      <c r="A514" t="s">
        <v>580</v>
      </c>
      <c r="B514" t="s">
        <v>46</v>
      </c>
      <c r="C514">
        <v>49</v>
      </c>
      <c r="D514" t="s">
        <v>17</v>
      </c>
      <c r="E514" t="str">
        <f ca="1">IF(Table1[[#This Row],[is_smoker]]=0,"non-smoker","smoker")</f>
        <v>non-smoker</v>
      </c>
      <c r="F514" t="s">
        <v>11</v>
      </c>
      <c r="G514" s="2">
        <v>1.1544715447154399</v>
      </c>
      <c r="H514" s="2">
        <v>2950.7854167744699</v>
      </c>
    </row>
    <row r="515" spans="1:8" x14ac:dyDescent="0.3">
      <c r="A515" t="s">
        <v>581</v>
      </c>
      <c r="B515" t="s">
        <v>502</v>
      </c>
      <c r="C515">
        <v>63</v>
      </c>
      <c r="D515" t="s">
        <v>17</v>
      </c>
      <c r="E515" t="str">
        <f ca="1">IF(Table1[[#This Row],[is_smoker]]=0,"non-smoker","smoker")</f>
        <v>non-smoker</v>
      </c>
      <c r="F515" t="s">
        <v>14</v>
      </c>
      <c r="G515" s="2">
        <v>0.66666666666666596</v>
      </c>
      <c r="H515" s="2">
        <v>1542.1799228651901</v>
      </c>
    </row>
    <row r="516" spans="1:8" x14ac:dyDescent="0.3">
      <c r="A516" t="s">
        <v>582</v>
      </c>
      <c r="B516" t="s">
        <v>110</v>
      </c>
      <c r="C516">
        <v>53</v>
      </c>
      <c r="D516" t="s">
        <v>17</v>
      </c>
      <c r="E516" t="str">
        <f ca="1">IF(Table1[[#This Row],[is_smoker]]=0,"non-smoker","smoker")</f>
        <v>non-smoker</v>
      </c>
      <c r="F516" t="s">
        <v>27</v>
      </c>
      <c r="G516" s="2">
        <v>0.53252032520325199</v>
      </c>
      <c r="H516" s="2">
        <v>1322.85160724859</v>
      </c>
    </row>
    <row r="517" spans="1:8" x14ac:dyDescent="0.3">
      <c r="A517" t="s">
        <v>583</v>
      </c>
      <c r="B517" t="s">
        <v>584</v>
      </c>
      <c r="C517">
        <v>34</v>
      </c>
      <c r="D517" t="s">
        <v>17</v>
      </c>
      <c r="E517" t="str">
        <f ca="1">IF(Table1[[#This Row],[is_smoker]]=0,"non-smoker","smoker")</f>
        <v>non-smoker</v>
      </c>
      <c r="F517" t="s">
        <v>24</v>
      </c>
      <c r="G517" s="2">
        <v>1.70325203252032</v>
      </c>
      <c r="H517" s="2">
        <v>4844.5815021867302</v>
      </c>
    </row>
    <row r="518" spans="1:8" x14ac:dyDescent="0.3">
      <c r="A518" t="s">
        <v>585</v>
      </c>
      <c r="B518" t="s">
        <v>35</v>
      </c>
      <c r="C518">
        <v>47</v>
      </c>
      <c r="D518" t="s">
        <v>17</v>
      </c>
      <c r="E518" t="str">
        <f ca="1">IF(Table1[[#This Row],[is_smoker]]=0,"non-smoker","smoker")</f>
        <v>non-smoker</v>
      </c>
      <c r="F518" t="s">
        <v>19</v>
      </c>
      <c r="G518" s="2">
        <v>1.11788617886178</v>
      </c>
      <c r="H518" s="2">
        <v>2898.2891405138898</v>
      </c>
    </row>
    <row r="519" spans="1:8" x14ac:dyDescent="0.3">
      <c r="A519" t="s">
        <v>586</v>
      </c>
      <c r="B519" t="s">
        <v>92</v>
      </c>
      <c r="C519">
        <v>60</v>
      </c>
      <c r="D519" t="s">
        <v>10</v>
      </c>
      <c r="E519" t="str">
        <f ca="1">IF(Table1[[#This Row],[is_smoker]]=0,"non-smoker","smoker")</f>
        <v>non-smoker</v>
      </c>
      <c r="F519" t="s">
        <v>19</v>
      </c>
      <c r="G519" s="2">
        <v>1.11788617886178</v>
      </c>
      <c r="H519" s="2">
        <v>917.73028374089404</v>
      </c>
    </row>
    <row r="520" spans="1:8" x14ac:dyDescent="0.3">
      <c r="A520" t="s">
        <v>587</v>
      </c>
      <c r="B520" t="s">
        <v>50</v>
      </c>
      <c r="C520">
        <v>40</v>
      </c>
      <c r="D520" t="s">
        <v>17</v>
      </c>
      <c r="E520" t="str">
        <f ca="1">IF(Table1[[#This Row],[is_smoker]]=0,"non-smoker","smoker")</f>
        <v>non-smoker</v>
      </c>
      <c r="F520" t="s">
        <v>27</v>
      </c>
      <c r="G520" s="2">
        <v>0.53252032520325199</v>
      </c>
      <c r="H520" s="2">
        <v>1451.2570991288201</v>
      </c>
    </row>
    <row r="521" spans="1:8" x14ac:dyDescent="0.3">
      <c r="A521" t="s">
        <v>588</v>
      </c>
      <c r="B521" t="s">
        <v>29</v>
      </c>
      <c r="C521">
        <v>59</v>
      </c>
      <c r="D521" t="s">
        <v>17</v>
      </c>
      <c r="E521" t="str">
        <f ca="1">IF(Table1[[#This Row],[is_smoker]]=0,"non-smoker","smoker")</f>
        <v>non-smoker</v>
      </c>
      <c r="F521" t="s">
        <v>61</v>
      </c>
      <c r="G521" s="2">
        <v>1.61788617886178</v>
      </c>
      <c r="H521" s="2">
        <v>3850.8244768749501</v>
      </c>
    </row>
    <row r="522" spans="1:8" x14ac:dyDescent="0.3">
      <c r="A522" t="s">
        <v>589</v>
      </c>
      <c r="B522" t="s">
        <v>23</v>
      </c>
      <c r="C522">
        <v>50</v>
      </c>
      <c r="D522" t="s">
        <v>17</v>
      </c>
      <c r="E522" t="str">
        <f ca="1">IF(Table1[[#This Row],[is_smoker]]=0,"non-smoker","smoker")</f>
        <v>non-smoker</v>
      </c>
      <c r="F522" t="s">
        <v>14</v>
      </c>
      <c r="G522" s="2">
        <v>0.66666666666666596</v>
      </c>
      <c r="H522" s="2">
        <v>1691.87499862293</v>
      </c>
    </row>
    <row r="523" spans="1:8" x14ac:dyDescent="0.3">
      <c r="A523" t="s">
        <v>590</v>
      </c>
      <c r="B523" t="s">
        <v>43</v>
      </c>
      <c r="C523">
        <v>23</v>
      </c>
      <c r="D523" t="s">
        <v>17</v>
      </c>
      <c r="E523" t="str">
        <f ca="1">IF(Table1[[#This Row],[is_smoker]]=0,"non-smoker","smoker")</f>
        <v>non-smoker</v>
      </c>
      <c r="F523" t="s">
        <v>19</v>
      </c>
      <c r="G523" s="2">
        <v>1.11788617886178</v>
      </c>
      <c r="H523" s="2">
        <v>3438.8912173169701</v>
      </c>
    </row>
    <row r="524" spans="1:8" x14ac:dyDescent="0.3">
      <c r="A524" t="s">
        <v>591</v>
      </c>
      <c r="B524" t="s">
        <v>60</v>
      </c>
      <c r="C524">
        <v>50</v>
      </c>
      <c r="D524" t="s">
        <v>10</v>
      </c>
      <c r="E524" t="str">
        <f ca="1">IF(Table1[[#This Row],[is_smoker]]=0,"non-smoker","smoker")</f>
        <v>non-smoker</v>
      </c>
      <c r="F524" t="s">
        <v>14</v>
      </c>
      <c r="G524" s="2">
        <v>0.66666666666666596</v>
      </c>
      <c r="H524" s="2">
        <v>587.72593297019898</v>
      </c>
    </row>
    <row r="525" spans="1:8" x14ac:dyDescent="0.3">
      <c r="A525" t="s">
        <v>592</v>
      </c>
      <c r="B525" t="s">
        <v>229</v>
      </c>
      <c r="C525">
        <v>54</v>
      </c>
      <c r="D525" t="s">
        <v>17</v>
      </c>
      <c r="E525" t="str">
        <f ca="1">IF(Table1[[#This Row],[is_smoker]]=0,"non-smoker","smoker")</f>
        <v>non-smoker</v>
      </c>
      <c r="F525" t="s">
        <v>19</v>
      </c>
      <c r="G525" s="2">
        <v>1.11788617886178</v>
      </c>
      <c r="H525" s="2">
        <v>2757.2596401618398</v>
      </c>
    </row>
    <row r="526" spans="1:8" x14ac:dyDescent="0.3">
      <c r="A526" t="s">
        <v>593</v>
      </c>
      <c r="B526" t="s">
        <v>35</v>
      </c>
      <c r="C526">
        <v>40</v>
      </c>
      <c r="D526" t="s">
        <v>17</v>
      </c>
      <c r="E526" t="str">
        <f ca="1">IF(Table1[[#This Row],[is_smoker]]=0,"non-smoker","smoker")</f>
        <v>non-smoker</v>
      </c>
      <c r="F526" t="s">
        <v>11</v>
      </c>
      <c r="G526" s="2">
        <v>1.1544715447154399</v>
      </c>
      <c r="H526" s="2">
        <v>3146.2367645235599</v>
      </c>
    </row>
    <row r="527" spans="1:8" x14ac:dyDescent="0.3">
      <c r="A527" t="s">
        <v>594</v>
      </c>
      <c r="B527" t="s">
        <v>113</v>
      </c>
      <c r="C527">
        <v>38</v>
      </c>
      <c r="D527" t="s">
        <v>17</v>
      </c>
      <c r="E527" t="str">
        <f ca="1">IF(Table1[[#This Row],[is_smoker]]=0,"non-smoker","smoker")</f>
        <v>non-smoker</v>
      </c>
      <c r="F527" t="s">
        <v>61</v>
      </c>
      <c r="G527" s="2">
        <v>1.61788617886178</v>
      </c>
      <c r="H527" s="2">
        <v>4472.4537787177196</v>
      </c>
    </row>
    <row r="528" spans="1:8" x14ac:dyDescent="0.3">
      <c r="A528" s="1" t="s">
        <v>595</v>
      </c>
      <c r="B528" t="s">
        <v>13</v>
      </c>
      <c r="C528">
        <v>63</v>
      </c>
      <c r="D528" t="s">
        <v>10</v>
      </c>
      <c r="E528" t="str">
        <f ca="1">IF(Table1[[#This Row],[is_smoker]]=0,"non-smoker","smoker")</f>
        <v>non-smoker</v>
      </c>
      <c r="F528" t="s">
        <v>11</v>
      </c>
      <c r="G528" s="2">
        <v>1.1544715447154399</v>
      </c>
      <c r="H528" s="2">
        <v>927.71828865755197</v>
      </c>
    </row>
    <row r="529" spans="1:8" x14ac:dyDescent="0.3">
      <c r="A529" t="s">
        <v>596</v>
      </c>
      <c r="B529" t="s">
        <v>13</v>
      </c>
      <c r="C529">
        <v>58</v>
      </c>
      <c r="D529" t="s">
        <v>10</v>
      </c>
      <c r="E529" t="str">
        <f ca="1">IF(Table1[[#This Row],[is_smoker]]=0,"non-smoker","smoker")</f>
        <v>non-smoker</v>
      </c>
      <c r="F529" t="s">
        <v>19</v>
      </c>
      <c r="G529" s="2">
        <v>1.11788617886178</v>
      </c>
      <c r="H529" s="2">
        <v>930.90377269142095</v>
      </c>
    </row>
    <row r="530" spans="1:8" x14ac:dyDescent="0.3">
      <c r="A530" t="s">
        <v>597</v>
      </c>
      <c r="B530" t="s">
        <v>46</v>
      </c>
      <c r="C530">
        <v>58</v>
      </c>
      <c r="D530" t="s">
        <v>17</v>
      </c>
      <c r="E530" t="str">
        <f ca="1">IF(Table1[[#This Row],[is_smoker]]=0,"non-smoker","smoker")</f>
        <v>non-smoker</v>
      </c>
      <c r="F530" t="s">
        <v>24</v>
      </c>
      <c r="G530" s="2">
        <v>1.70325203252032</v>
      </c>
      <c r="H530" s="2">
        <v>4083.0014882171999</v>
      </c>
    </row>
    <row r="531" spans="1:8" x14ac:dyDescent="0.3">
      <c r="A531" s="1" t="s">
        <v>598</v>
      </c>
      <c r="B531" t="s">
        <v>472</v>
      </c>
      <c r="C531">
        <v>33</v>
      </c>
      <c r="D531" t="s">
        <v>10</v>
      </c>
      <c r="E531" t="str">
        <f ca="1">IF(Table1[[#This Row],[is_smoker]]=0,"non-smoker","smoker")</f>
        <v>non-smoker</v>
      </c>
      <c r="F531" t="s">
        <v>24</v>
      </c>
      <c r="G531" s="2">
        <v>1.70325203252032</v>
      </c>
      <c r="H531" s="2">
        <v>1694.95320135165</v>
      </c>
    </row>
    <row r="532" spans="1:8" x14ac:dyDescent="0.3">
      <c r="A532" t="s">
        <v>599</v>
      </c>
      <c r="B532" t="s">
        <v>13</v>
      </c>
      <c r="C532">
        <v>19</v>
      </c>
      <c r="D532" t="s">
        <v>10</v>
      </c>
      <c r="E532" t="str">
        <f ca="1">IF(Table1[[#This Row],[is_smoker]]=0,"non-smoker","smoker")</f>
        <v>non-smoker</v>
      </c>
      <c r="F532" t="s">
        <v>11</v>
      </c>
      <c r="G532" s="2">
        <v>1.1544715447154399</v>
      </c>
      <c r="H532" s="2">
        <v>1269.3755245556199</v>
      </c>
    </row>
    <row r="533" spans="1:8" x14ac:dyDescent="0.3">
      <c r="A533" t="s">
        <v>600</v>
      </c>
      <c r="B533" t="s">
        <v>50</v>
      </c>
      <c r="C533">
        <v>23</v>
      </c>
      <c r="D533" t="s">
        <v>10</v>
      </c>
      <c r="E533" t="str">
        <f ca="1">IF(Table1[[#This Row],[is_smoker]]=0,"non-smoker","smoker")</f>
        <v>non-smoker</v>
      </c>
      <c r="F533" t="s">
        <v>24</v>
      </c>
      <c r="G533" s="2">
        <v>1.70325203252032</v>
      </c>
      <c r="H533" s="2">
        <v>1820.14651470128</v>
      </c>
    </row>
    <row r="534" spans="1:8" x14ac:dyDescent="0.3">
      <c r="A534" t="s">
        <v>601</v>
      </c>
      <c r="B534" t="s">
        <v>35</v>
      </c>
      <c r="C534">
        <v>51</v>
      </c>
      <c r="D534" t="s">
        <v>10</v>
      </c>
      <c r="E534" t="str">
        <f ca="1">IF(Table1[[#This Row],[is_smoker]]=0,"non-smoker","smoker")</f>
        <v>non-smoker</v>
      </c>
      <c r="F534" t="s">
        <v>19</v>
      </c>
      <c r="G534" s="2">
        <v>1.11788617886178</v>
      </c>
      <c r="H534" s="2">
        <v>978.51803869170703</v>
      </c>
    </row>
    <row r="535" spans="1:8" x14ac:dyDescent="0.3">
      <c r="A535" t="s">
        <v>602</v>
      </c>
      <c r="B535" t="s">
        <v>85</v>
      </c>
      <c r="C535">
        <v>56</v>
      </c>
      <c r="D535" t="s">
        <v>17</v>
      </c>
      <c r="E535" t="str">
        <f ca="1">IF(Table1[[#This Row],[is_smoker]]=0,"non-smoker","smoker")</f>
        <v>non-smoker</v>
      </c>
      <c r="F535" t="s">
        <v>27</v>
      </c>
      <c r="G535" s="2">
        <v>0.53252032520325199</v>
      </c>
      <c r="H535" s="2">
        <v>1294.87110071234</v>
      </c>
    </row>
    <row r="536" spans="1:8" x14ac:dyDescent="0.3">
      <c r="A536" t="s">
        <v>603</v>
      </c>
      <c r="B536" t="s">
        <v>29</v>
      </c>
      <c r="C536">
        <v>40</v>
      </c>
      <c r="D536" t="s">
        <v>10</v>
      </c>
      <c r="E536" t="str">
        <f ca="1">IF(Table1[[#This Row],[is_smoker]]=0,"non-smoker","smoker")</f>
        <v>non-smoker</v>
      </c>
      <c r="F536" t="s">
        <v>11</v>
      </c>
      <c r="G536" s="2">
        <v>1.1544715447154399</v>
      </c>
      <c r="H536" s="2">
        <v>1092.9441828029801</v>
      </c>
    </row>
    <row r="537" spans="1:8" x14ac:dyDescent="0.3">
      <c r="A537" t="s">
        <v>604</v>
      </c>
      <c r="B537" t="s">
        <v>43</v>
      </c>
      <c r="C537">
        <v>46</v>
      </c>
      <c r="D537" t="s">
        <v>17</v>
      </c>
      <c r="E537" t="str">
        <f ca="1">IF(Table1[[#This Row],[is_smoker]]=0,"non-smoker","smoker")</f>
        <v>non-smoker</v>
      </c>
      <c r="F537" t="s">
        <v>48</v>
      </c>
      <c r="G537" s="2">
        <v>0.46341463414634099</v>
      </c>
      <c r="H537" s="2">
        <v>1210.0650869911799</v>
      </c>
    </row>
    <row r="538" spans="1:8" x14ac:dyDescent="0.3">
      <c r="A538" t="s">
        <v>605</v>
      </c>
      <c r="B538" t="s">
        <v>29</v>
      </c>
      <c r="C538">
        <v>48</v>
      </c>
      <c r="D538" t="s">
        <v>17</v>
      </c>
      <c r="E538" t="str">
        <f ca="1">IF(Table1[[#This Row],[is_smoker]]=0,"non-smoker","smoker")</f>
        <v>non-smoker</v>
      </c>
      <c r="F538" t="s">
        <v>61</v>
      </c>
      <c r="G538" s="2">
        <v>1.61788617886178</v>
      </c>
      <c r="H538" s="2">
        <v>4164.8294732904897</v>
      </c>
    </row>
    <row r="539" spans="1:8" x14ac:dyDescent="0.3">
      <c r="A539" t="s">
        <v>606</v>
      </c>
      <c r="B539" t="s">
        <v>29</v>
      </c>
      <c r="C539">
        <v>53</v>
      </c>
      <c r="D539" t="s">
        <v>10</v>
      </c>
      <c r="E539" t="str">
        <f ca="1">IF(Table1[[#This Row],[is_smoker]]=0,"non-smoker","smoker")</f>
        <v>non-smoker</v>
      </c>
      <c r="F539" t="s">
        <v>24</v>
      </c>
      <c r="G539" s="2">
        <v>1.70325203252032</v>
      </c>
      <c r="H539" s="2">
        <v>1469.8074282581699</v>
      </c>
    </row>
    <row r="540" spans="1:8" x14ac:dyDescent="0.3">
      <c r="A540" t="s">
        <v>607</v>
      </c>
      <c r="B540" t="s">
        <v>113</v>
      </c>
      <c r="C540">
        <v>49</v>
      </c>
      <c r="D540" t="s">
        <v>17</v>
      </c>
      <c r="E540" t="str">
        <f ca="1">IF(Table1[[#This Row],[is_smoker]]=0,"non-smoker","smoker")</f>
        <v>non-smoker</v>
      </c>
      <c r="F540" t="s">
        <v>24</v>
      </c>
      <c r="G540" s="2">
        <v>1.70325203252032</v>
      </c>
      <c r="H540" s="2">
        <v>4353.4474986919104</v>
      </c>
    </row>
    <row r="541" spans="1:8" x14ac:dyDescent="0.3">
      <c r="A541" t="s">
        <v>608</v>
      </c>
      <c r="B541" t="s">
        <v>60</v>
      </c>
      <c r="C541">
        <v>46</v>
      </c>
      <c r="D541" t="s">
        <v>10</v>
      </c>
      <c r="E541" t="str">
        <f ca="1">IF(Table1[[#This Row],[is_smoker]]=0,"non-smoker","smoker")</f>
        <v>non-smoker</v>
      </c>
      <c r="F541" t="s">
        <v>56</v>
      </c>
      <c r="G541" s="2">
        <v>0.19512195121951201</v>
      </c>
      <c r="H541" s="2">
        <v>176.99120991684899</v>
      </c>
    </row>
    <row r="542" spans="1:8" x14ac:dyDescent="0.3">
      <c r="A542" t="s">
        <v>609</v>
      </c>
      <c r="B542" t="s">
        <v>16</v>
      </c>
      <c r="C542">
        <v>51</v>
      </c>
      <c r="D542" t="s">
        <v>10</v>
      </c>
      <c r="E542" t="str">
        <f ca="1">IF(Table1[[#This Row],[is_smoker]]=0,"non-smoker","smoker")</f>
        <v>non-smoker</v>
      </c>
      <c r="F542" t="s">
        <v>44</v>
      </c>
      <c r="G542" s="2">
        <v>1.1341463414634101</v>
      </c>
      <c r="H542" s="2">
        <v>992.75102834540496</v>
      </c>
    </row>
    <row r="543" spans="1:8" x14ac:dyDescent="0.3">
      <c r="A543" t="s">
        <v>610</v>
      </c>
      <c r="B543" t="s">
        <v>13</v>
      </c>
      <c r="C543">
        <v>36</v>
      </c>
      <c r="D543" t="s">
        <v>10</v>
      </c>
      <c r="E543" t="str">
        <f ca="1">IF(Table1[[#This Row],[is_smoker]]=0,"non-smoker","smoker")</f>
        <v>non-smoker</v>
      </c>
      <c r="F543" t="s">
        <v>11</v>
      </c>
      <c r="G543" s="2">
        <v>1.1544715447154399</v>
      </c>
      <c r="H543" s="2">
        <v>1124.5465502148299</v>
      </c>
    </row>
    <row r="544" spans="1:8" x14ac:dyDescent="0.3">
      <c r="A544" t="s">
        <v>611</v>
      </c>
      <c r="B544" t="s">
        <v>92</v>
      </c>
      <c r="C544">
        <v>24</v>
      </c>
      <c r="D544" t="s">
        <v>10</v>
      </c>
      <c r="E544" t="str">
        <f ca="1">IF(Table1[[#This Row],[is_smoker]]=0,"non-smoker","smoker")</f>
        <v>non-smoker</v>
      </c>
      <c r="F544" t="s">
        <v>2004</v>
      </c>
      <c r="G544" s="2">
        <v>1.2073170731707299</v>
      </c>
      <c r="H544" s="2">
        <v>1281.01410314131</v>
      </c>
    </row>
    <row r="545" spans="1:8" x14ac:dyDescent="0.3">
      <c r="A545" t="s">
        <v>612</v>
      </c>
      <c r="B545" t="s">
        <v>113</v>
      </c>
      <c r="C545">
        <v>28</v>
      </c>
      <c r="D545" t="s">
        <v>17</v>
      </c>
      <c r="E545" t="str">
        <f ca="1">IF(Table1[[#This Row],[is_smoker]]=0,"non-smoker","smoker")</f>
        <v>non-smoker</v>
      </c>
      <c r="F545" t="s">
        <v>24</v>
      </c>
      <c r="G545" s="2">
        <v>1.70325203252032</v>
      </c>
      <c r="H545" s="2">
        <v>5056.2140219319399</v>
      </c>
    </row>
    <row r="546" spans="1:8" x14ac:dyDescent="0.3">
      <c r="A546" t="s">
        <v>613</v>
      </c>
      <c r="B546" t="s">
        <v>29</v>
      </c>
      <c r="C546">
        <v>44</v>
      </c>
      <c r="D546" t="s">
        <v>10</v>
      </c>
      <c r="E546" t="str">
        <f ca="1">IF(Table1[[#This Row],[is_smoker]]=0,"non-smoker","smoker")</f>
        <v>non-smoker</v>
      </c>
      <c r="F546" t="s">
        <v>61</v>
      </c>
      <c r="G546" s="2">
        <v>1.61788617886178</v>
      </c>
      <c r="H546" s="2">
        <v>1488.6179798140899</v>
      </c>
    </row>
    <row r="547" spans="1:8" x14ac:dyDescent="0.3">
      <c r="A547" t="s">
        <v>614</v>
      </c>
      <c r="B547" t="s">
        <v>29</v>
      </c>
      <c r="C547">
        <v>62</v>
      </c>
      <c r="D547" t="s">
        <v>17</v>
      </c>
      <c r="E547" t="str">
        <f ca="1">IF(Table1[[#This Row],[is_smoker]]=0,"non-smoker","smoker")</f>
        <v>non-smoker</v>
      </c>
      <c r="F547" t="s">
        <v>48</v>
      </c>
      <c r="G547" s="2">
        <v>0.46341463414634099</v>
      </c>
      <c r="H547" s="2">
        <v>1079.66969606311</v>
      </c>
    </row>
    <row r="548" spans="1:8" x14ac:dyDescent="0.3">
      <c r="A548" t="s">
        <v>615</v>
      </c>
      <c r="B548" t="s">
        <v>33</v>
      </c>
      <c r="C548">
        <v>52</v>
      </c>
      <c r="D548" t="s">
        <v>17</v>
      </c>
      <c r="E548" t="str">
        <f ca="1">IF(Table1[[#This Row],[is_smoker]]=0,"non-smoker","smoker")</f>
        <v>non-smoker</v>
      </c>
      <c r="F548" t="s">
        <v>24</v>
      </c>
      <c r="G548" s="2">
        <v>1.70325203252032</v>
      </c>
      <c r="H548" s="2">
        <v>4261.3648603030697</v>
      </c>
    </row>
    <row r="549" spans="1:8" x14ac:dyDescent="0.3">
      <c r="A549" t="s">
        <v>616</v>
      </c>
      <c r="B549" t="s">
        <v>60</v>
      </c>
      <c r="C549">
        <v>46</v>
      </c>
      <c r="D549" t="s">
        <v>10</v>
      </c>
      <c r="E549" t="str">
        <f ca="1">IF(Table1[[#This Row],[is_smoker]]=0,"non-smoker","smoker")</f>
        <v>non-smoker</v>
      </c>
      <c r="F549" t="s">
        <v>48</v>
      </c>
      <c r="G549" s="2">
        <v>0.46341463414634099</v>
      </c>
      <c r="H549" s="2">
        <v>420.35412355251702</v>
      </c>
    </row>
    <row r="550" spans="1:8" x14ac:dyDescent="0.3">
      <c r="A550" t="s">
        <v>617</v>
      </c>
      <c r="B550" t="s">
        <v>50</v>
      </c>
      <c r="C550">
        <v>35</v>
      </c>
      <c r="D550" t="s">
        <v>17</v>
      </c>
      <c r="E550" t="str">
        <f ca="1">IF(Table1[[#This Row],[is_smoker]]=0,"non-smoker","smoker")</f>
        <v>non-smoker</v>
      </c>
      <c r="F550" t="s">
        <v>19</v>
      </c>
      <c r="G550" s="2">
        <v>1.11788617886178</v>
      </c>
      <c r="H550" s="2">
        <v>3157.0399222307001</v>
      </c>
    </row>
    <row r="551" spans="1:8" x14ac:dyDescent="0.3">
      <c r="A551" t="s">
        <v>618</v>
      </c>
      <c r="B551" t="s">
        <v>78</v>
      </c>
      <c r="C551">
        <v>25</v>
      </c>
      <c r="D551" t="s">
        <v>10</v>
      </c>
      <c r="E551" t="str">
        <f ca="1">IF(Table1[[#This Row],[is_smoker]]=0,"non-smoker","smoker")</f>
        <v>smoker</v>
      </c>
      <c r="F551" t="s">
        <v>19</v>
      </c>
      <c r="G551" s="2">
        <v>1.11788617886178</v>
      </c>
      <c r="H551" s="2">
        <v>1264.7448043075999</v>
      </c>
    </row>
    <row r="552" spans="1:8" x14ac:dyDescent="0.3">
      <c r="A552" t="s">
        <v>619</v>
      </c>
      <c r="B552" t="s">
        <v>13</v>
      </c>
      <c r="C552">
        <v>48</v>
      </c>
      <c r="D552" t="s">
        <v>10</v>
      </c>
      <c r="E552" t="str">
        <f ca="1">IF(Table1[[#This Row],[is_smoker]]=0,"non-smoker","smoker")</f>
        <v>non-smoker</v>
      </c>
      <c r="F552" t="s">
        <v>44</v>
      </c>
      <c r="G552" s="2">
        <v>1.1341463414634101</v>
      </c>
      <c r="H552" s="2">
        <v>1014.20310695168</v>
      </c>
    </row>
    <row r="553" spans="1:8" x14ac:dyDescent="0.3">
      <c r="A553" t="s">
        <v>620</v>
      </c>
      <c r="B553" t="s">
        <v>85</v>
      </c>
      <c r="C553">
        <v>53</v>
      </c>
      <c r="D553" t="s">
        <v>10</v>
      </c>
      <c r="E553" t="str">
        <f ca="1">IF(Table1[[#This Row],[is_smoker]]=0,"non-smoker","smoker")</f>
        <v>non-smoker</v>
      </c>
      <c r="F553" t="s">
        <v>27</v>
      </c>
      <c r="G553" s="2">
        <v>0.53252032520325199</v>
      </c>
      <c r="H553" s="2">
        <v>459.53406468215002</v>
      </c>
    </row>
    <row r="554" spans="1:8" x14ac:dyDescent="0.3">
      <c r="A554" t="s">
        <v>621</v>
      </c>
      <c r="B554" t="s">
        <v>13</v>
      </c>
      <c r="C554">
        <v>54</v>
      </c>
      <c r="D554" t="s">
        <v>17</v>
      </c>
      <c r="E554" t="str">
        <f ca="1">IF(Table1[[#This Row],[is_smoker]]=0,"non-smoker","smoker")</f>
        <v>non-smoker</v>
      </c>
      <c r="F554" t="s">
        <v>2004</v>
      </c>
      <c r="G554" s="2">
        <v>1.2073170731707299</v>
      </c>
      <c r="H554" s="2">
        <v>2977.8404113747802</v>
      </c>
    </row>
    <row r="555" spans="1:8" x14ac:dyDescent="0.3">
      <c r="A555" s="1" t="s">
        <v>622</v>
      </c>
      <c r="B555" t="s">
        <v>50</v>
      </c>
      <c r="C555">
        <v>22</v>
      </c>
      <c r="D555" t="s">
        <v>17</v>
      </c>
      <c r="E555" t="str">
        <f ca="1">IF(Table1[[#This Row],[is_smoker]]=0,"non-smoker","smoker")</f>
        <v>non-smoker</v>
      </c>
      <c r="F555" t="s">
        <v>56</v>
      </c>
      <c r="G555" s="2">
        <v>0.19512195121951201</v>
      </c>
      <c r="H555" s="2">
        <v>604.53555049965701</v>
      </c>
    </row>
    <row r="556" spans="1:8" x14ac:dyDescent="0.3">
      <c r="A556" t="s">
        <v>623</v>
      </c>
      <c r="B556" t="s">
        <v>63</v>
      </c>
      <c r="C556">
        <v>46</v>
      </c>
      <c r="D556" t="s">
        <v>17</v>
      </c>
      <c r="E556" t="str">
        <f ca="1">IF(Table1[[#This Row],[is_smoker]]=0,"non-smoker","smoker")</f>
        <v>non-smoker</v>
      </c>
      <c r="F556" t="s">
        <v>44</v>
      </c>
      <c r="G556" s="2">
        <v>1.1341463414634101</v>
      </c>
      <c r="H556" s="2">
        <v>2961.4750813205301</v>
      </c>
    </row>
    <row r="557" spans="1:8" x14ac:dyDescent="0.3">
      <c r="A557" t="s">
        <v>624</v>
      </c>
      <c r="B557" t="s">
        <v>192</v>
      </c>
      <c r="C557">
        <v>53</v>
      </c>
      <c r="D557" t="s">
        <v>10</v>
      </c>
      <c r="E557" t="str">
        <f ca="1">IF(Table1[[#This Row],[is_smoker]]=0,"non-smoker","smoker")</f>
        <v>non-smoker</v>
      </c>
      <c r="F557" t="s">
        <v>14</v>
      </c>
      <c r="G557" s="2">
        <v>0.66666666666666596</v>
      </c>
      <c r="H557" s="2">
        <v>575.29455425856895</v>
      </c>
    </row>
    <row r="558" spans="1:8" x14ac:dyDescent="0.3">
      <c r="A558" t="s">
        <v>625</v>
      </c>
      <c r="B558" t="s">
        <v>21</v>
      </c>
      <c r="C558">
        <v>37</v>
      </c>
      <c r="D558" t="s">
        <v>17</v>
      </c>
      <c r="E558" t="str">
        <f ca="1">IF(Table1[[#This Row],[is_smoker]]=0,"non-smoker","smoker")</f>
        <v>non-smoker</v>
      </c>
      <c r="F558" t="s">
        <v>56</v>
      </c>
      <c r="G558" s="2">
        <v>0.19512195121951201</v>
      </c>
      <c r="H558" s="2">
        <v>543.24894296961099</v>
      </c>
    </row>
    <row r="559" spans="1:8" x14ac:dyDescent="0.3">
      <c r="A559" t="s">
        <v>626</v>
      </c>
      <c r="B559" t="s">
        <v>43</v>
      </c>
      <c r="C559">
        <v>32</v>
      </c>
      <c r="D559" t="s">
        <v>10</v>
      </c>
      <c r="E559" t="str">
        <f ca="1">IF(Table1[[#This Row],[is_smoker]]=0,"non-smoker","smoker")</f>
        <v>non-smoker</v>
      </c>
      <c r="F559" t="s">
        <v>11</v>
      </c>
      <c r="G559" s="2">
        <v>1.1544715447154399</v>
      </c>
      <c r="H559" s="2">
        <v>1157.0626967946801</v>
      </c>
    </row>
    <row r="560" spans="1:8" x14ac:dyDescent="0.3">
      <c r="A560" s="1" t="s">
        <v>627</v>
      </c>
      <c r="B560" t="s">
        <v>60</v>
      </c>
      <c r="C560">
        <v>42</v>
      </c>
      <c r="D560" t="s">
        <v>17</v>
      </c>
      <c r="E560" t="str">
        <f ca="1">IF(Table1[[#This Row],[is_smoker]]=0,"non-smoker","smoker")</f>
        <v>non-smoker</v>
      </c>
      <c r="F560" t="s">
        <v>61</v>
      </c>
      <c r="G560" s="2">
        <v>1.61788617886178</v>
      </c>
      <c r="H560" s="2">
        <v>4346.7674498409397</v>
      </c>
    </row>
    <row r="561" spans="1:8" x14ac:dyDescent="0.3">
      <c r="A561" t="s">
        <v>628</v>
      </c>
      <c r="B561" t="s">
        <v>31</v>
      </c>
      <c r="C561">
        <v>24</v>
      </c>
      <c r="D561" t="s">
        <v>17</v>
      </c>
      <c r="E561" t="str">
        <f ca="1">IF(Table1[[#This Row],[is_smoker]]=0,"non-smoker","smoker")</f>
        <v>non-smoker</v>
      </c>
      <c r="F561" t="s">
        <v>14</v>
      </c>
      <c r="G561" s="2">
        <v>0.66666666666666596</v>
      </c>
      <c r="H561" s="2">
        <v>2036.26702541144</v>
      </c>
    </row>
    <row r="562" spans="1:8" x14ac:dyDescent="0.3">
      <c r="A562" t="s">
        <v>629</v>
      </c>
      <c r="B562" t="s">
        <v>43</v>
      </c>
      <c r="C562">
        <v>38</v>
      </c>
      <c r="D562" t="s">
        <v>10</v>
      </c>
      <c r="E562" t="str">
        <f ca="1">IF(Table1[[#This Row],[is_smoker]]=0,"non-smoker","smoker")</f>
        <v>non-smoker</v>
      </c>
      <c r="F562" t="s">
        <v>14</v>
      </c>
      <c r="G562" s="2">
        <v>0.66666666666666596</v>
      </c>
      <c r="H562" s="2">
        <v>640.19638613013205</v>
      </c>
    </row>
    <row r="563" spans="1:8" x14ac:dyDescent="0.3">
      <c r="A563" t="s">
        <v>630</v>
      </c>
      <c r="B563" t="s">
        <v>50</v>
      </c>
      <c r="C563">
        <v>25</v>
      </c>
      <c r="D563" t="s">
        <v>17</v>
      </c>
      <c r="E563" t="str">
        <f ca="1">IF(Table1[[#This Row],[is_smoker]]=0,"non-smoker","smoker")</f>
        <v>non-smoker</v>
      </c>
      <c r="F563" t="s">
        <v>44</v>
      </c>
      <c r="G563" s="2">
        <v>1.1341463414634101</v>
      </c>
      <c r="H563" s="2">
        <v>3439.53885656693</v>
      </c>
    </row>
    <row r="564" spans="1:8" x14ac:dyDescent="0.3">
      <c r="A564" t="s">
        <v>631</v>
      </c>
      <c r="B564" t="s">
        <v>466</v>
      </c>
      <c r="C564">
        <v>49</v>
      </c>
      <c r="D564" t="s">
        <v>10</v>
      </c>
      <c r="E564" t="str">
        <f ca="1">IF(Table1[[#This Row],[is_smoker]]=0,"non-smoker","smoker")</f>
        <v>non-smoker</v>
      </c>
      <c r="F564" t="s">
        <v>27</v>
      </c>
      <c r="G564" s="2">
        <v>0.53252032520325199</v>
      </c>
      <c r="H564" s="2">
        <v>472.82144438446898</v>
      </c>
    </row>
    <row r="565" spans="1:8" x14ac:dyDescent="0.3">
      <c r="A565" t="s">
        <v>632</v>
      </c>
      <c r="B565" t="s">
        <v>53</v>
      </c>
      <c r="C565">
        <v>55</v>
      </c>
      <c r="D565" t="s">
        <v>17</v>
      </c>
      <c r="E565" t="str">
        <f ca="1">IF(Table1[[#This Row],[is_smoker]]=0,"non-smoker","smoker")</f>
        <v>non-smoker</v>
      </c>
      <c r="F565" t="s">
        <v>44</v>
      </c>
      <c r="G565" s="2">
        <v>1.1341463414634101</v>
      </c>
      <c r="H565" s="2">
        <v>2777.5015474478801</v>
      </c>
    </row>
    <row r="566" spans="1:8" x14ac:dyDescent="0.3">
      <c r="A566" t="s">
        <v>633</v>
      </c>
      <c r="B566" t="s">
        <v>128</v>
      </c>
      <c r="C566">
        <v>45</v>
      </c>
      <c r="D566" t="s">
        <v>10</v>
      </c>
      <c r="E566" t="str">
        <f ca="1">IF(Table1[[#This Row],[is_smoker]]=0,"non-smoker","smoker")</f>
        <v>non-smoker</v>
      </c>
      <c r="F566" t="s">
        <v>11</v>
      </c>
      <c r="G566" s="2">
        <v>1.1544715447154399</v>
      </c>
      <c r="H566" s="2">
        <v>1054.6871736655401</v>
      </c>
    </row>
    <row r="567" spans="1:8" x14ac:dyDescent="0.3">
      <c r="A567" t="s">
        <v>634</v>
      </c>
      <c r="B567" t="s">
        <v>60</v>
      </c>
      <c r="C567">
        <v>26</v>
      </c>
      <c r="D567" t="s">
        <v>10</v>
      </c>
      <c r="E567" t="str">
        <f ca="1">IF(Table1[[#This Row],[is_smoker]]=0,"non-smoker","smoker")</f>
        <v>non-smoker</v>
      </c>
      <c r="F567" t="s">
        <v>24</v>
      </c>
      <c r="G567" s="2">
        <v>1.70325203252032</v>
      </c>
      <c r="H567" s="2">
        <v>1781.64739569771</v>
      </c>
    </row>
    <row r="568" spans="1:8" x14ac:dyDescent="0.3">
      <c r="A568" t="s">
        <v>635</v>
      </c>
      <c r="B568" t="s">
        <v>85</v>
      </c>
      <c r="C568">
        <v>60</v>
      </c>
      <c r="D568" t="s">
        <v>10</v>
      </c>
      <c r="E568" t="str">
        <f ca="1">IF(Table1[[#This Row],[is_smoker]]=0,"non-smoker","smoker")</f>
        <v>non-smoker</v>
      </c>
      <c r="F568" t="s">
        <v>24</v>
      </c>
      <c r="G568" s="2">
        <v>1.70325203252032</v>
      </c>
      <c r="H568" s="2">
        <v>1398.2872323179399</v>
      </c>
    </row>
    <row r="569" spans="1:8" x14ac:dyDescent="0.3">
      <c r="A569" t="s">
        <v>636</v>
      </c>
      <c r="B569" t="s">
        <v>13</v>
      </c>
      <c r="C569">
        <v>35</v>
      </c>
      <c r="D569" t="s">
        <v>17</v>
      </c>
      <c r="E569" t="str">
        <f ca="1">IF(Table1[[#This Row],[is_smoker]]=0,"non-smoker","smoker")</f>
        <v>non-smoker</v>
      </c>
      <c r="F569" t="s">
        <v>27</v>
      </c>
      <c r="G569" s="2">
        <v>0.53252032520325199</v>
      </c>
      <c r="H569" s="2">
        <v>1503.8990174989799</v>
      </c>
    </row>
    <row r="570" spans="1:8" x14ac:dyDescent="0.3">
      <c r="A570" t="s">
        <v>637</v>
      </c>
      <c r="B570" t="s">
        <v>16</v>
      </c>
      <c r="C570">
        <v>28</v>
      </c>
      <c r="D570" t="s">
        <v>17</v>
      </c>
      <c r="E570" t="str">
        <f ca="1">IF(Table1[[#This Row],[is_smoker]]=0,"non-smoker","smoker")</f>
        <v>non-smoker</v>
      </c>
      <c r="F570" t="s">
        <v>11</v>
      </c>
      <c r="G570" s="2">
        <v>1.1544715447154399</v>
      </c>
      <c r="H570" s="2">
        <v>3427.1235852712898</v>
      </c>
    </row>
    <row r="571" spans="1:8" x14ac:dyDescent="0.3">
      <c r="A571" t="s">
        <v>638</v>
      </c>
      <c r="B571" t="s">
        <v>43</v>
      </c>
      <c r="C571">
        <v>35</v>
      </c>
      <c r="D571" t="s">
        <v>17</v>
      </c>
      <c r="E571" t="str">
        <f ca="1">IF(Table1[[#This Row],[is_smoker]]=0,"non-smoker","smoker")</f>
        <v>non-smoker</v>
      </c>
      <c r="F571" t="s">
        <v>27</v>
      </c>
      <c r="G571" s="2">
        <v>0.53252032520325199</v>
      </c>
      <c r="H571" s="2">
        <v>1503.8990174989799</v>
      </c>
    </row>
    <row r="572" spans="1:8" x14ac:dyDescent="0.3">
      <c r="A572" t="s">
        <v>639</v>
      </c>
      <c r="B572" t="s">
        <v>13</v>
      </c>
      <c r="C572">
        <v>56</v>
      </c>
      <c r="D572" t="s">
        <v>10</v>
      </c>
      <c r="E572" t="str">
        <f ca="1">IF(Table1[[#This Row],[is_smoker]]=0,"non-smoker","smoker")</f>
        <v>non-smoker</v>
      </c>
      <c r="F572" t="s">
        <v>48</v>
      </c>
      <c r="G572" s="2">
        <v>0.46341463414634099</v>
      </c>
      <c r="H572" s="2">
        <v>391.441327201967</v>
      </c>
    </row>
    <row r="573" spans="1:8" x14ac:dyDescent="0.3">
      <c r="A573" t="s">
        <v>640</v>
      </c>
      <c r="B573" t="s">
        <v>243</v>
      </c>
      <c r="C573">
        <v>62</v>
      </c>
      <c r="D573" t="s">
        <v>10</v>
      </c>
      <c r="E573" t="str">
        <f ca="1">IF(Table1[[#This Row],[is_smoker]]=0,"non-smoker","smoker")</f>
        <v>non-smoker</v>
      </c>
      <c r="F573" t="s">
        <v>24</v>
      </c>
      <c r="G573" s="2">
        <v>1.70325203252032</v>
      </c>
      <c r="H573" s="2">
        <v>1378.4996646391201</v>
      </c>
    </row>
    <row r="574" spans="1:8" x14ac:dyDescent="0.3">
      <c r="A574" t="s">
        <v>641</v>
      </c>
      <c r="B574" t="s">
        <v>13</v>
      </c>
      <c r="C574">
        <v>53</v>
      </c>
      <c r="D574" t="s">
        <v>17</v>
      </c>
      <c r="E574" t="str">
        <f ca="1">IF(Table1[[#This Row],[is_smoker]]=0,"non-smoker","smoker")</f>
        <v>non-smoker</v>
      </c>
      <c r="F574" t="s">
        <v>14</v>
      </c>
      <c r="G574" s="2">
        <v>0.66666666666666596</v>
      </c>
      <c r="H574" s="2">
        <v>1656.08903502877</v>
      </c>
    </row>
    <row r="575" spans="1:8" x14ac:dyDescent="0.3">
      <c r="A575" t="s">
        <v>642</v>
      </c>
      <c r="B575" t="s">
        <v>21</v>
      </c>
      <c r="C575">
        <v>19</v>
      </c>
      <c r="D575" t="s">
        <v>10</v>
      </c>
      <c r="E575" t="str">
        <f ca="1">IF(Table1[[#This Row],[is_smoker]]=0,"non-smoker","smoker")</f>
        <v>smoker</v>
      </c>
      <c r="F575" t="s">
        <v>2004</v>
      </c>
      <c r="G575" s="2">
        <v>1.2073170731707299</v>
      </c>
      <c r="H575" s="2">
        <v>1425.5939431888401</v>
      </c>
    </row>
    <row r="576" spans="1:8" x14ac:dyDescent="0.3">
      <c r="A576" t="s">
        <v>643</v>
      </c>
      <c r="B576" t="s">
        <v>16</v>
      </c>
      <c r="C576">
        <v>56</v>
      </c>
      <c r="D576" t="s">
        <v>17</v>
      </c>
      <c r="E576" t="str">
        <f ca="1">IF(Table1[[#This Row],[is_smoker]]=0,"non-smoker","smoker")</f>
        <v>non-smoker</v>
      </c>
      <c r="F576" t="s">
        <v>61</v>
      </c>
      <c r="G576" s="2">
        <v>1.61788617886178</v>
      </c>
      <c r="H576" s="2">
        <v>3934.0358632329198</v>
      </c>
    </row>
    <row r="577" spans="1:8" x14ac:dyDescent="0.3">
      <c r="A577" t="s">
        <v>644</v>
      </c>
      <c r="B577" t="s">
        <v>29</v>
      </c>
      <c r="C577">
        <v>35</v>
      </c>
      <c r="D577" t="s">
        <v>17</v>
      </c>
      <c r="E577" t="str">
        <f ca="1">IF(Table1[[#This Row],[is_smoker]]=0,"non-smoker","smoker")</f>
        <v>non-smoker</v>
      </c>
      <c r="F577" t="s">
        <v>11</v>
      </c>
      <c r="G577" s="2">
        <v>1.1544715447154399</v>
      </c>
      <c r="H577" s="2">
        <v>3260.3612287764299</v>
      </c>
    </row>
    <row r="578" spans="1:8" x14ac:dyDescent="0.3">
      <c r="A578" t="s">
        <v>645</v>
      </c>
      <c r="B578" t="s">
        <v>13</v>
      </c>
      <c r="C578">
        <v>42</v>
      </c>
      <c r="D578" t="s">
        <v>17</v>
      </c>
      <c r="E578" t="str">
        <f ca="1">IF(Table1[[#This Row],[is_smoker]]=0,"non-smoker","smoker")</f>
        <v>non-smoker</v>
      </c>
      <c r="F578" t="s">
        <v>56</v>
      </c>
      <c r="G578" s="2">
        <v>0.19512195121951201</v>
      </c>
      <c r="H578" s="2">
        <v>524.23326028232498</v>
      </c>
    </row>
    <row r="579" spans="1:8" x14ac:dyDescent="0.3">
      <c r="A579" t="s">
        <v>646</v>
      </c>
      <c r="B579" t="s">
        <v>88</v>
      </c>
      <c r="C579">
        <v>22</v>
      </c>
      <c r="D579" t="s">
        <v>10</v>
      </c>
      <c r="E579" t="str">
        <f ca="1">IF(Table1[[#This Row],[is_smoker]]=0,"non-smoker","smoker")</f>
        <v>non-smoker</v>
      </c>
      <c r="F579" t="s">
        <v>27</v>
      </c>
      <c r="G579" s="2">
        <v>0.53252032520325199</v>
      </c>
      <c r="H579" s="2">
        <v>573.13705103254802</v>
      </c>
    </row>
    <row r="580" spans="1:8" x14ac:dyDescent="0.3">
      <c r="A580" t="s">
        <v>647</v>
      </c>
      <c r="B580" t="s">
        <v>35</v>
      </c>
      <c r="C580">
        <v>51</v>
      </c>
      <c r="D580" t="s">
        <v>17</v>
      </c>
      <c r="E580" t="str">
        <f ca="1">IF(Table1[[#This Row],[is_smoker]]=0,"non-smoker","smoker")</f>
        <v>non-smoker</v>
      </c>
      <c r="F580" t="s">
        <v>61</v>
      </c>
      <c r="G580" s="2">
        <v>1.61788617886178</v>
      </c>
      <c r="H580" s="2">
        <v>4076.7364191178099</v>
      </c>
    </row>
    <row r="581" spans="1:8" x14ac:dyDescent="0.3">
      <c r="A581" t="s">
        <v>648</v>
      </c>
      <c r="B581" t="s">
        <v>85</v>
      </c>
      <c r="C581">
        <v>40</v>
      </c>
      <c r="D581" t="s">
        <v>17</v>
      </c>
      <c r="E581" t="str">
        <f ca="1">IF(Table1[[#This Row],[is_smoker]]=0,"non-smoker","smoker")</f>
        <v>non-smoker</v>
      </c>
      <c r="F581" t="s">
        <v>56</v>
      </c>
      <c r="G581" s="2">
        <v>0.19512195121951201</v>
      </c>
      <c r="H581" s="2">
        <v>531.75832639834903</v>
      </c>
    </row>
    <row r="582" spans="1:8" x14ac:dyDescent="0.3">
      <c r="A582" t="s">
        <v>649</v>
      </c>
      <c r="B582" t="s">
        <v>43</v>
      </c>
      <c r="C582">
        <v>56</v>
      </c>
      <c r="D582" t="s">
        <v>10</v>
      </c>
      <c r="E582" t="str">
        <f ca="1">IF(Table1[[#This Row],[is_smoker]]=0,"non-smoker","smoker")</f>
        <v>non-smoker</v>
      </c>
      <c r="F582" t="s">
        <v>61</v>
      </c>
      <c r="G582" s="2">
        <v>1.61788617886178</v>
      </c>
      <c r="H582" s="2">
        <v>1366.6109493542299</v>
      </c>
    </row>
    <row r="583" spans="1:8" x14ac:dyDescent="0.3">
      <c r="A583" t="s">
        <v>650</v>
      </c>
      <c r="B583" t="s">
        <v>29</v>
      </c>
      <c r="C583">
        <v>64</v>
      </c>
      <c r="D583" t="s">
        <v>10</v>
      </c>
      <c r="E583" t="str">
        <f ca="1">IF(Table1[[#This Row],[is_smoker]]=0,"non-smoker","smoker")</f>
        <v>non-smoker</v>
      </c>
      <c r="F583" t="s">
        <v>2004</v>
      </c>
      <c r="G583" s="2">
        <v>1.2073170731707299</v>
      </c>
      <c r="H583" s="2">
        <v>963.29512796916799</v>
      </c>
    </row>
    <row r="584" spans="1:8" x14ac:dyDescent="0.3">
      <c r="A584" t="s">
        <v>651</v>
      </c>
      <c r="B584" t="s">
        <v>31</v>
      </c>
      <c r="C584">
        <v>34</v>
      </c>
      <c r="D584" t="s">
        <v>10</v>
      </c>
      <c r="E584" t="str">
        <f ca="1">IF(Table1[[#This Row],[is_smoker]]=0,"non-smoker","smoker")</f>
        <v>non-smoker</v>
      </c>
      <c r="F584" t="s">
        <v>56</v>
      </c>
      <c r="G584" s="2">
        <v>0.19512195121951201</v>
      </c>
      <c r="H584" s="2">
        <v>192.79246772885099</v>
      </c>
    </row>
    <row r="585" spans="1:8" x14ac:dyDescent="0.3">
      <c r="A585" t="s">
        <v>652</v>
      </c>
      <c r="B585" t="s">
        <v>408</v>
      </c>
      <c r="C585">
        <v>29</v>
      </c>
      <c r="D585" t="s">
        <v>10</v>
      </c>
      <c r="E585" t="str">
        <f ca="1">IF(Table1[[#This Row],[is_smoker]]=0,"non-smoker","smoker")</f>
        <v>non-smoker</v>
      </c>
      <c r="F585" t="s">
        <v>44</v>
      </c>
      <c r="G585" s="2">
        <v>1.1341463414634101</v>
      </c>
      <c r="H585" s="2">
        <v>1161.2543306617799</v>
      </c>
    </row>
    <row r="586" spans="1:8" x14ac:dyDescent="0.3">
      <c r="A586" t="s">
        <v>653</v>
      </c>
      <c r="B586" t="s">
        <v>13</v>
      </c>
      <c r="C586">
        <v>35</v>
      </c>
      <c r="D586" t="s">
        <v>10</v>
      </c>
      <c r="E586" t="str">
        <f ca="1">IF(Table1[[#This Row],[is_smoker]]=0,"non-smoker","smoker")</f>
        <v>non-smoker</v>
      </c>
      <c r="F586" t="s">
        <v>19</v>
      </c>
      <c r="G586" s="2">
        <v>1.11788617886178</v>
      </c>
      <c r="H586" s="2">
        <v>1096.69699902618</v>
      </c>
    </row>
    <row r="587" spans="1:8" x14ac:dyDescent="0.3">
      <c r="A587" t="s">
        <v>654</v>
      </c>
      <c r="B587" t="s">
        <v>16</v>
      </c>
      <c r="C587">
        <v>24</v>
      </c>
      <c r="D587" t="s">
        <v>10</v>
      </c>
      <c r="E587" t="str">
        <f ca="1">IF(Table1[[#This Row],[is_smoker]]=0,"non-smoker","smoker")</f>
        <v>non-smoker</v>
      </c>
      <c r="F587" t="s">
        <v>44</v>
      </c>
      <c r="G587" s="2">
        <v>1.1341463414634101</v>
      </c>
      <c r="H587" s="2">
        <v>1203.3768847690999</v>
      </c>
    </row>
    <row r="588" spans="1:8" x14ac:dyDescent="0.3">
      <c r="A588" t="s">
        <v>655</v>
      </c>
      <c r="B588" t="s">
        <v>78</v>
      </c>
      <c r="C588">
        <v>23</v>
      </c>
      <c r="D588" t="s">
        <v>10</v>
      </c>
      <c r="E588" t="str">
        <f ca="1">IF(Table1[[#This Row],[is_smoker]]=0,"non-smoker","smoker")</f>
        <v>non-smoker</v>
      </c>
      <c r="F588" t="s">
        <v>24</v>
      </c>
      <c r="G588" s="2">
        <v>1.70325203252032</v>
      </c>
      <c r="H588" s="2">
        <v>1820.14651470128</v>
      </c>
    </row>
    <row r="589" spans="1:8" x14ac:dyDescent="0.3">
      <c r="A589" t="s">
        <v>656</v>
      </c>
      <c r="B589" t="s">
        <v>82</v>
      </c>
      <c r="C589">
        <v>29</v>
      </c>
      <c r="D589" t="s">
        <v>17</v>
      </c>
      <c r="E589" t="str">
        <f ca="1">IF(Table1[[#This Row],[is_smoker]]=0,"non-smoker","smoker")</f>
        <v>non-smoker</v>
      </c>
      <c r="F589" t="s">
        <v>19</v>
      </c>
      <c r="G589" s="2">
        <v>1.11788617886178</v>
      </c>
      <c r="H589" s="2">
        <v>3294.95324113685</v>
      </c>
    </row>
    <row r="590" spans="1:8" x14ac:dyDescent="0.3">
      <c r="A590" s="1" t="s">
        <v>657</v>
      </c>
      <c r="B590" t="s">
        <v>33</v>
      </c>
      <c r="C590">
        <v>44</v>
      </c>
      <c r="D590" t="s">
        <v>17</v>
      </c>
      <c r="E590" t="str">
        <f ca="1">IF(Table1[[#This Row],[is_smoker]]=0,"non-smoker","smoker")</f>
        <v>non-smoker</v>
      </c>
      <c r="F590" t="s">
        <v>44</v>
      </c>
      <c r="G590" s="2">
        <v>1.1341463414634101</v>
      </c>
      <c r="H590" s="2">
        <v>3003.98534817367</v>
      </c>
    </row>
    <row r="591" spans="1:8" x14ac:dyDescent="0.3">
      <c r="A591" s="1" t="s">
        <v>658</v>
      </c>
      <c r="B591" t="s">
        <v>243</v>
      </c>
      <c r="C591">
        <v>22</v>
      </c>
      <c r="D591" t="s">
        <v>10</v>
      </c>
      <c r="E591" t="str">
        <f ca="1">IF(Table1[[#This Row],[is_smoker]]=0,"non-smoker","smoker")</f>
        <v>non-smoker</v>
      </c>
      <c r="F591" t="s">
        <v>19</v>
      </c>
      <c r="G591" s="2">
        <v>1.11788617886178</v>
      </c>
      <c r="H591" s="2">
        <v>1203.1502979690799</v>
      </c>
    </row>
    <row r="592" spans="1:8" x14ac:dyDescent="0.3">
      <c r="A592" s="1" t="s">
        <v>659</v>
      </c>
      <c r="B592" t="s">
        <v>50</v>
      </c>
      <c r="C592">
        <v>31</v>
      </c>
      <c r="D592" t="s">
        <v>10</v>
      </c>
      <c r="E592" t="str">
        <f ca="1">IF(Table1[[#This Row],[is_smoker]]=0,"non-smoker","smoker")</f>
        <v>non-smoker</v>
      </c>
      <c r="F592" t="s">
        <v>19</v>
      </c>
      <c r="G592" s="2">
        <v>1.11788617886178</v>
      </c>
      <c r="H592" s="2">
        <v>1128.40787872894</v>
      </c>
    </row>
    <row r="593" spans="1:8" x14ac:dyDescent="0.3">
      <c r="A593" t="s">
        <v>660</v>
      </c>
      <c r="B593" t="s">
        <v>13</v>
      </c>
      <c r="C593">
        <v>31</v>
      </c>
      <c r="D593" t="s">
        <v>10</v>
      </c>
      <c r="E593" t="str">
        <f ca="1">IF(Table1[[#This Row],[is_smoker]]=0,"non-smoker","smoker")</f>
        <v>non-smoker</v>
      </c>
      <c r="F593" t="s">
        <v>14</v>
      </c>
      <c r="G593" s="2">
        <v>0.66666666666666596</v>
      </c>
      <c r="H593" s="2">
        <v>672.94142586016801</v>
      </c>
    </row>
    <row r="594" spans="1:8" x14ac:dyDescent="0.3">
      <c r="A594" t="s">
        <v>661</v>
      </c>
      <c r="B594" t="s">
        <v>43</v>
      </c>
      <c r="C594">
        <v>58</v>
      </c>
      <c r="D594" t="s">
        <v>17</v>
      </c>
      <c r="E594" t="str">
        <f ca="1">IF(Table1[[#This Row],[is_smoker]]=0,"non-smoker","smoker")</f>
        <v>non-smoker</v>
      </c>
      <c r="F594" t="s">
        <v>27</v>
      </c>
      <c r="G594" s="2">
        <v>0.53252032520325199</v>
      </c>
      <c r="H594" s="2">
        <v>1276.5470046693399</v>
      </c>
    </row>
    <row r="595" spans="1:8" x14ac:dyDescent="0.3">
      <c r="A595" t="s">
        <v>662</v>
      </c>
      <c r="B595" t="s">
        <v>92</v>
      </c>
      <c r="C595">
        <v>40</v>
      </c>
      <c r="D595" t="s">
        <v>17</v>
      </c>
      <c r="E595" t="str">
        <f ca="1">IF(Table1[[#This Row],[is_smoker]]=0,"non-smoker","smoker")</f>
        <v>non-smoker</v>
      </c>
      <c r="F595" t="s">
        <v>27</v>
      </c>
      <c r="G595" s="2">
        <v>0.53252032520325199</v>
      </c>
      <c r="H595" s="2">
        <v>1451.2570991288201</v>
      </c>
    </row>
    <row r="596" spans="1:8" x14ac:dyDescent="0.3">
      <c r="A596" t="s">
        <v>663</v>
      </c>
      <c r="B596" t="s">
        <v>243</v>
      </c>
      <c r="C596">
        <v>31</v>
      </c>
      <c r="D596" t="s">
        <v>17</v>
      </c>
      <c r="E596" t="str">
        <f ca="1">IF(Table1[[#This Row],[is_smoker]]=0,"non-smoker","smoker")</f>
        <v>non-smoker</v>
      </c>
      <c r="F596" t="s">
        <v>14</v>
      </c>
      <c r="G596" s="2">
        <v>0.66666666666666596</v>
      </c>
      <c r="H596" s="2">
        <v>1937.1831496300799</v>
      </c>
    </row>
    <row r="597" spans="1:8" x14ac:dyDescent="0.3">
      <c r="A597" t="s">
        <v>664</v>
      </c>
      <c r="B597" t="s">
        <v>13</v>
      </c>
      <c r="C597">
        <v>50</v>
      </c>
      <c r="D597" t="s">
        <v>17</v>
      </c>
      <c r="E597" t="str">
        <f ca="1">IF(Table1[[#This Row],[is_smoker]]=0,"non-smoker","smoker")</f>
        <v>non-smoker</v>
      </c>
      <c r="F597" t="s">
        <v>61</v>
      </c>
      <c r="G597" s="2">
        <v>1.61788617886178</v>
      </c>
      <c r="H597" s="2">
        <v>4105.8917649507803</v>
      </c>
    </row>
    <row r="598" spans="1:8" x14ac:dyDescent="0.3">
      <c r="A598" t="s">
        <v>665</v>
      </c>
      <c r="B598" t="s">
        <v>16</v>
      </c>
      <c r="C598">
        <v>61</v>
      </c>
      <c r="D598" t="s">
        <v>10</v>
      </c>
      <c r="E598" t="str">
        <f ca="1">IF(Table1[[#This Row],[is_smoker]]=0,"non-smoker","smoker")</f>
        <v>non-smoker</v>
      </c>
      <c r="F598" t="s">
        <v>48</v>
      </c>
      <c r="G598" s="2">
        <v>0.46341463414634099</v>
      </c>
      <c r="H598" s="2">
        <v>377.73946148259103</v>
      </c>
    </row>
    <row r="599" spans="1:8" x14ac:dyDescent="0.3">
      <c r="A599" t="s">
        <v>666</v>
      </c>
      <c r="B599" t="s">
        <v>29</v>
      </c>
      <c r="C599">
        <v>51</v>
      </c>
      <c r="D599" t="s">
        <v>10</v>
      </c>
      <c r="E599" t="str">
        <f ca="1">IF(Table1[[#This Row],[is_smoker]]=0,"non-smoker","smoker")</f>
        <v>non-smoker</v>
      </c>
      <c r="F599" t="s">
        <v>61</v>
      </c>
      <c r="G599" s="2">
        <v>1.61788617886178</v>
      </c>
      <c r="H599" s="2">
        <v>1416.1824705429001</v>
      </c>
    </row>
    <row r="600" spans="1:8" x14ac:dyDescent="0.3">
      <c r="A600" t="s">
        <v>667</v>
      </c>
      <c r="B600" t="s">
        <v>46</v>
      </c>
      <c r="C600">
        <v>43</v>
      </c>
      <c r="D600" t="s">
        <v>10</v>
      </c>
      <c r="E600" t="str">
        <f ca="1">IF(Table1[[#This Row],[is_smoker]]=0,"non-smoker","smoker")</f>
        <v>non-smoker</v>
      </c>
      <c r="F600" t="s">
        <v>56</v>
      </c>
      <c r="G600" s="2">
        <v>0.19512195121951201</v>
      </c>
      <c r="H600" s="2">
        <v>180.81576334399099</v>
      </c>
    </row>
    <row r="601" spans="1:8" x14ac:dyDescent="0.3">
      <c r="A601" t="s">
        <v>668</v>
      </c>
      <c r="B601" t="s">
        <v>88</v>
      </c>
      <c r="C601">
        <v>23</v>
      </c>
      <c r="D601" t="s">
        <v>10</v>
      </c>
      <c r="E601" t="str">
        <f ca="1">IF(Table1[[#This Row],[is_smoker]]=0,"non-smoker","smoker")</f>
        <v>non-smoker</v>
      </c>
      <c r="F601" t="s">
        <v>56</v>
      </c>
      <c r="G601" s="2">
        <v>0.19512195121951201</v>
      </c>
      <c r="H601" s="2">
        <v>208.51320454811801</v>
      </c>
    </row>
    <row r="602" spans="1:8" x14ac:dyDescent="0.3">
      <c r="A602" t="s">
        <v>669</v>
      </c>
      <c r="B602" t="s">
        <v>16</v>
      </c>
      <c r="C602">
        <v>49</v>
      </c>
      <c r="D602" t="s">
        <v>10</v>
      </c>
      <c r="E602" t="str">
        <f ca="1">IF(Table1[[#This Row],[is_smoker]]=0,"non-smoker","smoker")</f>
        <v>non-smoker</v>
      </c>
      <c r="F602" t="s">
        <v>19</v>
      </c>
      <c r="G602" s="2">
        <v>1.11788617886178</v>
      </c>
      <c r="H602" s="2">
        <v>992.56410080709202</v>
      </c>
    </row>
    <row r="603" spans="1:8" x14ac:dyDescent="0.3">
      <c r="A603" t="s">
        <v>670</v>
      </c>
      <c r="B603" t="s">
        <v>16</v>
      </c>
      <c r="C603">
        <v>27</v>
      </c>
      <c r="D603" t="s">
        <v>17</v>
      </c>
      <c r="E603" t="str">
        <f ca="1">IF(Table1[[#This Row],[is_smoker]]=0,"non-smoker","smoker")</f>
        <v>non-smoker</v>
      </c>
      <c r="F603" t="s">
        <v>44</v>
      </c>
      <c r="G603" s="2">
        <v>1.1341463414634101</v>
      </c>
      <c r="H603" s="2">
        <v>3390.8649458458499</v>
      </c>
    </row>
    <row r="604" spans="1:8" x14ac:dyDescent="0.3">
      <c r="A604" t="s">
        <v>671</v>
      </c>
      <c r="B604" t="s">
        <v>9</v>
      </c>
      <c r="C604">
        <v>35</v>
      </c>
      <c r="D604" t="s">
        <v>10</v>
      </c>
      <c r="E604" t="str">
        <f ca="1">IF(Table1[[#This Row],[is_smoker]]=0,"non-smoker","smoker")</f>
        <v>non-smoker</v>
      </c>
      <c r="F604" t="s">
        <v>44</v>
      </c>
      <c r="G604" s="2">
        <v>1.1341463414634101</v>
      </c>
      <c r="H604" s="2">
        <v>1112.6489553756501</v>
      </c>
    </row>
    <row r="605" spans="1:8" x14ac:dyDescent="0.3">
      <c r="A605" t="s">
        <v>672</v>
      </c>
      <c r="B605" t="s">
        <v>13</v>
      </c>
      <c r="C605">
        <v>30</v>
      </c>
      <c r="D605" t="s">
        <v>10</v>
      </c>
      <c r="E605" t="str">
        <f ca="1">IF(Table1[[#This Row],[is_smoker]]=0,"non-smoker","smoker")</f>
        <v>non-smoker</v>
      </c>
      <c r="F605" t="s">
        <v>27</v>
      </c>
      <c r="G605" s="2">
        <v>0.53252032520325199</v>
      </c>
      <c r="H605" s="2">
        <v>541.37671848739603</v>
      </c>
    </row>
    <row r="606" spans="1:8" x14ac:dyDescent="0.3">
      <c r="A606" t="s">
        <v>673</v>
      </c>
      <c r="B606" t="s">
        <v>29</v>
      </c>
      <c r="C606">
        <v>26</v>
      </c>
      <c r="D606" t="s">
        <v>10</v>
      </c>
      <c r="E606" t="str">
        <f ca="1">IF(Table1[[#This Row],[is_smoker]]=0,"non-smoker","smoker")</f>
        <v>non-smoker</v>
      </c>
      <c r="F606" t="s">
        <v>11</v>
      </c>
      <c r="G606" s="2">
        <v>1.1544715447154399</v>
      </c>
      <c r="H606" s="2">
        <v>1207.6082586590701</v>
      </c>
    </row>
    <row r="607" spans="1:8" x14ac:dyDescent="0.3">
      <c r="A607" t="s">
        <v>674</v>
      </c>
      <c r="B607" t="s">
        <v>82</v>
      </c>
      <c r="C607">
        <v>51</v>
      </c>
      <c r="D607" t="s">
        <v>17</v>
      </c>
      <c r="E607" t="str">
        <f ca="1">IF(Table1[[#This Row],[is_smoker]]=0,"non-smoker","smoker")</f>
        <v>non-smoker</v>
      </c>
      <c r="F607" t="s">
        <v>61</v>
      </c>
      <c r="G607" s="2">
        <v>1.61788617886178</v>
      </c>
      <c r="H607" s="2">
        <v>4076.7364191178099</v>
      </c>
    </row>
    <row r="608" spans="1:8" x14ac:dyDescent="0.3">
      <c r="A608" t="s">
        <v>675</v>
      </c>
      <c r="B608" t="s">
        <v>31</v>
      </c>
      <c r="C608">
        <v>65</v>
      </c>
      <c r="D608" t="s">
        <v>17</v>
      </c>
      <c r="E608" t="str">
        <f ca="1">IF(Table1[[#This Row],[is_smoker]]=0,"non-smoker","smoker")</f>
        <v>non-smoker</v>
      </c>
      <c r="F608" t="s">
        <v>24</v>
      </c>
      <c r="G608" s="2">
        <v>1.70325203252032</v>
      </c>
      <c r="H608" s="2">
        <v>3884.3243956625602</v>
      </c>
    </row>
    <row r="609" spans="1:8" x14ac:dyDescent="0.3">
      <c r="A609" t="s">
        <v>676</v>
      </c>
      <c r="B609" t="s">
        <v>29</v>
      </c>
      <c r="C609">
        <v>27</v>
      </c>
      <c r="D609" t="s">
        <v>10</v>
      </c>
      <c r="E609" t="str">
        <f ca="1">IF(Table1[[#This Row],[is_smoker]]=0,"non-smoker","smoker")</f>
        <v>smoker</v>
      </c>
      <c r="F609" t="s">
        <v>2004</v>
      </c>
      <c r="G609" s="2">
        <v>1.2073170731707299</v>
      </c>
      <c r="H609" s="2">
        <v>1346.59479694893</v>
      </c>
    </row>
    <row r="610" spans="1:8" x14ac:dyDescent="0.3">
      <c r="A610" t="s">
        <v>677</v>
      </c>
      <c r="B610" t="s">
        <v>23</v>
      </c>
      <c r="C610">
        <v>58</v>
      </c>
      <c r="D610" t="s">
        <v>17</v>
      </c>
      <c r="E610" t="str">
        <f ca="1">IF(Table1[[#This Row],[is_smoker]]=0,"non-smoker","smoker")</f>
        <v>non-smoker</v>
      </c>
      <c r="F610" t="s">
        <v>44</v>
      </c>
      <c r="G610" s="2">
        <v>1.1341463414634101</v>
      </c>
      <c r="H610" s="2">
        <v>2718.7527809369899</v>
      </c>
    </row>
    <row r="611" spans="1:8" x14ac:dyDescent="0.3">
      <c r="A611" t="s">
        <v>678</v>
      </c>
      <c r="B611" t="s">
        <v>82</v>
      </c>
      <c r="C611">
        <v>34</v>
      </c>
      <c r="D611" t="s">
        <v>17</v>
      </c>
      <c r="E611" t="str">
        <f ca="1">IF(Table1[[#This Row],[is_smoker]]=0,"non-smoker","smoker")</f>
        <v>non-smoker</v>
      </c>
      <c r="F611" t="s">
        <v>2004</v>
      </c>
      <c r="G611" s="2">
        <v>1.2073170731707299</v>
      </c>
      <c r="H611" s="2">
        <v>3433.9873655118299</v>
      </c>
    </row>
    <row r="612" spans="1:8" x14ac:dyDescent="0.3">
      <c r="A612" t="s">
        <v>679</v>
      </c>
      <c r="B612" t="s">
        <v>35</v>
      </c>
      <c r="C612">
        <v>35</v>
      </c>
      <c r="D612" t="s">
        <v>17</v>
      </c>
      <c r="E612" t="str">
        <f ca="1">IF(Table1[[#This Row],[is_smoker]]=0,"non-smoker","smoker")</f>
        <v>non-smoker</v>
      </c>
      <c r="F612" t="s">
        <v>19</v>
      </c>
      <c r="G612" s="2">
        <v>1.11788617886178</v>
      </c>
      <c r="H612" s="2">
        <v>3157.0399222307001</v>
      </c>
    </row>
    <row r="613" spans="1:8" x14ac:dyDescent="0.3">
      <c r="A613" t="s">
        <v>680</v>
      </c>
      <c r="B613" t="s">
        <v>31</v>
      </c>
      <c r="C613">
        <v>18</v>
      </c>
      <c r="D613" t="s">
        <v>17</v>
      </c>
      <c r="E613" t="str">
        <f ca="1">IF(Table1[[#This Row],[is_smoker]]=0,"non-smoker","smoker")</f>
        <v>non-smoker</v>
      </c>
      <c r="F613" t="s">
        <v>2004</v>
      </c>
      <c r="G613" s="2">
        <v>1.2073170731707299</v>
      </c>
      <c r="H613" s="2">
        <v>3848.7217297352099</v>
      </c>
    </row>
    <row r="614" spans="1:8" x14ac:dyDescent="0.3">
      <c r="A614" t="s">
        <v>681</v>
      </c>
      <c r="B614" t="s">
        <v>85</v>
      </c>
      <c r="C614">
        <v>29</v>
      </c>
      <c r="D614" t="s">
        <v>17</v>
      </c>
      <c r="E614" t="str">
        <f ca="1">IF(Table1[[#This Row],[is_smoker]]=0,"non-smoker","smoker")</f>
        <v>non-smoker</v>
      </c>
      <c r="F614" t="s">
        <v>24</v>
      </c>
      <c r="G614" s="2">
        <v>1.70325203252032</v>
      </c>
      <c r="H614" s="2">
        <v>5020.3105746776</v>
      </c>
    </row>
    <row r="615" spans="1:8" x14ac:dyDescent="0.3">
      <c r="A615" t="s">
        <v>682</v>
      </c>
      <c r="B615" t="s">
        <v>31</v>
      </c>
      <c r="C615">
        <v>49</v>
      </c>
      <c r="D615" t="s">
        <v>17</v>
      </c>
      <c r="E615" t="str">
        <f ca="1">IF(Table1[[#This Row],[is_smoker]]=0,"non-smoker","smoker")</f>
        <v>non-smoker</v>
      </c>
      <c r="F615" t="s">
        <v>14</v>
      </c>
      <c r="G615" s="2">
        <v>0.66666666666666596</v>
      </c>
      <c r="H615" s="2">
        <v>1703.9746772922899</v>
      </c>
    </row>
    <row r="616" spans="1:8" x14ac:dyDescent="0.3">
      <c r="A616" t="s">
        <v>683</v>
      </c>
      <c r="B616" t="s">
        <v>29</v>
      </c>
      <c r="C616">
        <v>54</v>
      </c>
      <c r="D616" t="s">
        <v>17</v>
      </c>
      <c r="E616" t="str">
        <f ca="1">IF(Table1[[#This Row],[is_smoker]]=0,"non-smoker","smoker")</f>
        <v>non-smoker</v>
      </c>
      <c r="F616" t="s">
        <v>24</v>
      </c>
      <c r="G616" s="2">
        <v>1.70325203252032</v>
      </c>
      <c r="H616" s="2">
        <v>4201.0610517374898</v>
      </c>
    </row>
    <row r="617" spans="1:8" x14ac:dyDescent="0.3">
      <c r="A617" t="s">
        <v>684</v>
      </c>
      <c r="B617" t="s">
        <v>31</v>
      </c>
      <c r="C617">
        <v>65</v>
      </c>
      <c r="D617" t="s">
        <v>10</v>
      </c>
      <c r="E617" t="str">
        <f ca="1">IF(Table1[[#This Row],[is_smoker]]=0,"non-smoker","smoker")</f>
        <v>non-smoker</v>
      </c>
      <c r="F617" t="s">
        <v>2004</v>
      </c>
      <c r="G617" s="2">
        <v>1.2073170731707299</v>
      </c>
      <c r="H617" s="2">
        <v>956.45490806008399</v>
      </c>
    </row>
    <row r="618" spans="1:8" x14ac:dyDescent="0.3">
      <c r="A618" t="s">
        <v>685</v>
      </c>
      <c r="B618" t="s">
        <v>85</v>
      </c>
      <c r="C618">
        <v>19</v>
      </c>
      <c r="D618" t="s">
        <v>17</v>
      </c>
      <c r="E618" t="str">
        <f ca="1">IF(Table1[[#This Row],[is_smoker]]=0,"non-smoker","smoker")</f>
        <v>non-smoker</v>
      </c>
      <c r="F618" t="s">
        <v>24</v>
      </c>
      <c r="G618" s="2">
        <v>1.70325203252032</v>
      </c>
      <c r="H618" s="2">
        <v>5391.1227684224696</v>
      </c>
    </row>
    <row r="619" spans="1:8" x14ac:dyDescent="0.3">
      <c r="A619" t="s">
        <v>686</v>
      </c>
      <c r="B619" t="s">
        <v>408</v>
      </c>
      <c r="C619">
        <v>24</v>
      </c>
      <c r="D619" t="s">
        <v>10</v>
      </c>
      <c r="E619" t="str">
        <f ca="1">IF(Table1[[#This Row],[is_smoker]]=0,"non-smoker","smoker")</f>
        <v>non-smoker</v>
      </c>
      <c r="F619" t="s">
        <v>48</v>
      </c>
      <c r="G619" s="2">
        <v>0.46341463414634099</v>
      </c>
      <c r="H619" s="2">
        <v>491.70238302393699</v>
      </c>
    </row>
    <row r="620" spans="1:8" x14ac:dyDescent="0.3">
      <c r="A620" t="s">
        <v>687</v>
      </c>
      <c r="B620" t="s">
        <v>29</v>
      </c>
      <c r="C620">
        <v>35</v>
      </c>
      <c r="D620" t="s">
        <v>17</v>
      </c>
      <c r="E620" t="str">
        <f ca="1">IF(Table1[[#This Row],[is_smoker]]=0,"non-smoker","smoker")</f>
        <v>non-smoker</v>
      </c>
      <c r="F620" t="s">
        <v>19</v>
      </c>
      <c r="G620" s="2">
        <v>1.11788617886178</v>
      </c>
      <c r="H620" s="2">
        <v>3157.0399222307001</v>
      </c>
    </row>
    <row r="621" spans="1:8" x14ac:dyDescent="0.3">
      <c r="A621" t="s">
        <v>688</v>
      </c>
      <c r="B621" t="s">
        <v>29</v>
      </c>
      <c r="C621">
        <v>54</v>
      </c>
      <c r="D621" t="s">
        <v>17</v>
      </c>
      <c r="E621" t="str">
        <f ca="1">IF(Table1[[#This Row],[is_smoker]]=0,"non-smoker","smoker")</f>
        <v>non-smoker</v>
      </c>
      <c r="F621" t="s">
        <v>61</v>
      </c>
      <c r="G621" s="2">
        <v>1.61788617886178</v>
      </c>
      <c r="H621" s="2">
        <v>3990.5066792160401</v>
      </c>
    </row>
    <row r="622" spans="1:8" x14ac:dyDescent="0.3">
      <c r="A622" t="s">
        <v>689</v>
      </c>
      <c r="B622" t="s">
        <v>33</v>
      </c>
      <c r="C622">
        <v>32</v>
      </c>
      <c r="D622" t="s">
        <v>17</v>
      </c>
      <c r="E622" t="str">
        <f ca="1">IF(Table1[[#This Row],[is_smoker]]=0,"non-smoker","smoker")</f>
        <v>non-smoker</v>
      </c>
      <c r="F622" t="s">
        <v>14</v>
      </c>
      <c r="G622" s="2">
        <v>0.66666666666666596</v>
      </c>
      <c r="H622" s="2">
        <v>1923.4274912000701</v>
      </c>
    </row>
    <row r="623" spans="1:8" x14ac:dyDescent="0.3">
      <c r="A623" t="s">
        <v>690</v>
      </c>
      <c r="B623" t="s">
        <v>192</v>
      </c>
      <c r="C623">
        <v>54</v>
      </c>
      <c r="D623" t="s">
        <v>17</v>
      </c>
      <c r="E623" t="str">
        <f ca="1">IF(Table1[[#This Row],[is_smoker]]=0,"non-smoker","smoker")</f>
        <v>non-smoker</v>
      </c>
      <c r="F623" t="s">
        <v>44</v>
      </c>
      <c r="G623" s="2">
        <v>1.1341463414634101</v>
      </c>
      <c r="H623" s="2">
        <v>2797.36523492783</v>
      </c>
    </row>
    <row r="624" spans="1:8" x14ac:dyDescent="0.3">
      <c r="A624" t="s">
        <v>691</v>
      </c>
      <c r="B624" t="s">
        <v>29</v>
      </c>
      <c r="C624">
        <v>23</v>
      </c>
      <c r="D624" t="s">
        <v>10</v>
      </c>
      <c r="E624" t="str">
        <f ca="1">IF(Table1[[#This Row],[is_smoker]]=0,"non-smoker","smoker")</f>
        <v>non-smoker</v>
      </c>
      <c r="F624" t="s">
        <v>56</v>
      </c>
      <c r="G624" s="2">
        <v>0.19512195121951201</v>
      </c>
      <c r="H624" s="2">
        <v>208.51320454811801</v>
      </c>
    </row>
    <row r="625" spans="1:8" x14ac:dyDescent="0.3">
      <c r="A625" t="s">
        <v>692</v>
      </c>
      <c r="B625" t="s">
        <v>43</v>
      </c>
      <c r="C625">
        <v>63</v>
      </c>
      <c r="D625" t="s">
        <v>10</v>
      </c>
      <c r="E625" t="str">
        <f ca="1">IF(Table1[[#This Row],[is_smoker]]=0,"non-smoker","smoker")</f>
        <v>non-smoker</v>
      </c>
      <c r="F625" t="s">
        <v>61</v>
      </c>
      <c r="G625" s="2">
        <v>1.61788617886178</v>
      </c>
      <c r="H625" s="2">
        <v>1300.1122495975501</v>
      </c>
    </row>
    <row r="626" spans="1:8" x14ac:dyDescent="0.3">
      <c r="A626" t="s">
        <v>693</v>
      </c>
      <c r="B626" t="s">
        <v>110</v>
      </c>
      <c r="C626">
        <v>30</v>
      </c>
      <c r="D626" t="s">
        <v>17</v>
      </c>
      <c r="E626" t="str">
        <f ca="1">IF(Table1[[#This Row],[is_smoker]]=0,"non-smoker","smoker")</f>
        <v>non-smoker</v>
      </c>
      <c r="F626" t="s">
        <v>56</v>
      </c>
      <c r="G626" s="2">
        <v>0.19512195121951201</v>
      </c>
      <c r="H626" s="2">
        <v>571.03527323674996</v>
      </c>
    </row>
    <row r="627" spans="1:8" x14ac:dyDescent="0.3">
      <c r="A627" t="s">
        <v>694</v>
      </c>
      <c r="B627" t="s">
        <v>46</v>
      </c>
      <c r="C627">
        <v>55</v>
      </c>
      <c r="D627" t="s">
        <v>10</v>
      </c>
      <c r="E627" t="str">
        <f ca="1">IF(Table1[[#This Row],[is_smoker]]=0,"non-smoker","smoker")</f>
        <v>non-smoker</v>
      </c>
      <c r="F627" t="s">
        <v>19</v>
      </c>
      <c r="G627" s="2">
        <v>1.11788617886178</v>
      </c>
      <c r="H627" s="2">
        <v>951.01941129211298</v>
      </c>
    </row>
    <row r="628" spans="1:8" x14ac:dyDescent="0.3">
      <c r="A628" t="s">
        <v>695</v>
      </c>
      <c r="B628" t="s">
        <v>113</v>
      </c>
      <c r="C628">
        <v>24</v>
      </c>
      <c r="D628" t="s">
        <v>10</v>
      </c>
      <c r="E628" t="str">
        <f ca="1">IF(Table1[[#This Row],[is_smoker]]=0,"non-smoker","smoker")</f>
        <v>non-smoker</v>
      </c>
      <c r="F628" t="s">
        <v>14</v>
      </c>
      <c r="G628" s="2">
        <v>0.66666666666666596</v>
      </c>
      <c r="H628" s="2">
        <v>707.36132294671597</v>
      </c>
    </row>
    <row r="629" spans="1:8" x14ac:dyDescent="0.3">
      <c r="A629" t="s">
        <v>696</v>
      </c>
      <c r="B629" t="s">
        <v>37</v>
      </c>
      <c r="C629">
        <v>22</v>
      </c>
      <c r="D629" t="s">
        <v>10</v>
      </c>
      <c r="E629" t="str">
        <f ca="1">IF(Table1[[#This Row],[is_smoker]]=0,"non-smoker","smoker")</f>
        <v>non-smoker</v>
      </c>
      <c r="F629" t="s">
        <v>27</v>
      </c>
      <c r="G629" s="2">
        <v>0.53252032520325199</v>
      </c>
      <c r="H629" s="2">
        <v>573.13705103254802</v>
      </c>
    </row>
    <row r="630" spans="1:8" x14ac:dyDescent="0.3">
      <c r="A630" t="s">
        <v>697</v>
      </c>
      <c r="B630" t="s">
        <v>29</v>
      </c>
      <c r="C630">
        <v>63</v>
      </c>
      <c r="D630" t="s">
        <v>10</v>
      </c>
      <c r="E630" t="str">
        <f ca="1">IF(Table1[[#This Row],[is_smoker]]=0,"non-smoker","smoker")</f>
        <v>non-smoker</v>
      </c>
      <c r="F630" t="s">
        <v>44</v>
      </c>
      <c r="G630" s="2">
        <v>1.1341463414634101</v>
      </c>
      <c r="H630" s="2">
        <v>911.38522019527102</v>
      </c>
    </row>
    <row r="631" spans="1:8" x14ac:dyDescent="0.3">
      <c r="A631" t="s">
        <v>698</v>
      </c>
      <c r="B631" t="s">
        <v>60</v>
      </c>
      <c r="C631">
        <v>45</v>
      </c>
      <c r="D631" t="s">
        <v>17</v>
      </c>
      <c r="E631" t="str">
        <f ca="1">IF(Table1[[#This Row],[is_smoker]]=0,"non-smoker","smoker")</f>
        <v>non-smoker</v>
      </c>
      <c r="F631" t="s">
        <v>48</v>
      </c>
      <c r="G631" s="2">
        <v>0.46341463414634099</v>
      </c>
      <c r="H631" s="2">
        <v>1218.7190352636801</v>
      </c>
    </row>
    <row r="632" spans="1:8" x14ac:dyDescent="0.3">
      <c r="A632" t="s">
        <v>699</v>
      </c>
      <c r="B632" t="s">
        <v>60</v>
      </c>
      <c r="C632">
        <v>62</v>
      </c>
      <c r="D632" t="s">
        <v>17</v>
      </c>
      <c r="E632" t="str">
        <f ca="1">IF(Table1[[#This Row],[is_smoker]]=0,"non-smoker","smoker")</f>
        <v>non-smoker</v>
      </c>
      <c r="F632" t="s">
        <v>27</v>
      </c>
      <c r="G632" s="2">
        <v>0.53252032520325199</v>
      </c>
      <c r="H632" s="2">
        <v>1240.6730717918199</v>
      </c>
    </row>
    <row r="633" spans="1:8" x14ac:dyDescent="0.3">
      <c r="A633" t="s">
        <v>700</v>
      </c>
      <c r="B633" t="s">
        <v>29</v>
      </c>
      <c r="C633">
        <v>57</v>
      </c>
      <c r="D633" t="s">
        <v>17</v>
      </c>
      <c r="E633" t="str">
        <f ca="1">IF(Table1[[#This Row],[is_smoker]]=0,"non-smoker","smoker")</f>
        <v>non-smoker</v>
      </c>
      <c r="F633" t="s">
        <v>19</v>
      </c>
      <c r="G633" s="2">
        <v>1.11788617886178</v>
      </c>
      <c r="H633" s="2">
        <v>2698.9390235779802</v>
      </c>
    </row>
    <row r="634" spans="1:8" x14ac:dyDescent="0.3">
      <c r="A634" t="s">
        <v>701</v>
      </c>
      <c r="B634" t="s">
        <v>135</v>
      </c>
      <c r="C634">
        <v>20</v>
      </c>
      <c r="D634" t="s">
        <v>10</v>
      </c>
      <c r="E634" t="str">
        <f ca="1">IF(Table1[[#This Row],[is_smoker]]=0,"non-smoker","smoker")</f>
        <v>non-smoker</v>
      </c>
      <c r="F634" t="s">
        <v>61</v>
      </c>
      <c r="G634" s="2">
        <v>1.61788617886178</v>
      </c>
      <c r="H634" s="2">
        <v>1766.2817781579699</v>
      </c>
    </row>
    <row r="635" spans="1:8" x14ac:dyDescent="0.3">
      <c r="A635" t="s">
        <v>702</v>
      </c>
      <c r="B635" t="s">
        <v>157</v>
      </c>
      <c r="C635">
        <v>25</v>
      </c>
      <c r="D635" t="s">
        <v>17</v>
      </c>
      <c r="E635" t="str">
        <f ca="1">IF(Table1[[#This Row],[is_smoker]]=0,"non-smoker","smoker")</f>
        <v>non-smoker</v>
      </c>
      <c r="F635" t="s">
        <v>48</v>
      </c>
      <c r="G635" s="2">
        <v>0.46341463414634099</v>
      </c>
      <c r="H635" s="2">
        <v>1405.4029736509999</v>
      </c>
    </row>
    <row r="636" spans="1:8" x14ac:dyDescent="0.3">
      <c r="A636" t="s">
        <v>703</v>
      </c>
      <c r="B636" t="s">
        <v>157</v>
      </c>
      <c r="C636">
        <v>49</v>
      </c>
      <c r="D636" t="s">
        <v>17</v>
      </c>
      <c r="E636" t="str">
        <f ca="1">IF(Table1[[#This Row],[is_smoker]]=0,"non-smoker","smoker")</f>
        <v>non-smoker</v>
      </c>
      <c r="F636" t="s">
        <v>24</v>
      </c>
      <c r="G636" s="2">
        <v>1.70325203252032</v>
      </c>
      <c r="H636" s="2">
        <v>4353.4474986919104</v>
      </c>
    </row>
    <row r="637" spans="1:8" x14ac:dyDescent="0.3">
      <c r="A637" t="s">
        <v>704</v>
      </c>
      <c r="B637" t="s">
        <v>23</v>
      </c>
      <c r="C637">
        <v>64</v>
      </c>
      <c r="D637" t="s">
        <v>17</v>
      </c>
      <c r="E637" t="str">
        <f ca="1">IF(Table1[[#This Row],[is_smoker]]=0,"non-smoker","smoker")</f>
        <v>non-smoker</v>
      </c>
      <c r="F637" t="s">
        <v>2004</v>
      </c>
      <c r="G637" s="2">
        <v>1.2073170731707299</v>
      </c>
      <c r="H637" s="2">
        <v>2773.0185991111498</v>
      </c>
    </row>
    <row r="638" spans="1:8" x14ac:dyDescent="0.3">
      <c r="A638" t="s">
        <v>705</v>
      </c>
      <c r="B638" t="s">
        <v>29</v>
      </c>
      <c r="C638">
        <v>51</v>
      </c>
      <c r="D638" t="s">
        <v>17</v>
      </c>
      <c r="E638" t="str">
        <f ca="1">IF(Table1[[#This Row],[is_smoker]]=0,"non-smoker","smoker")</f>
        <v>non-smoker</v>
      </c>
      <c r="F638" t="s">
        <v>48</v>
      </c>
      <c r="G638" s="2">
        <v>0.46341463414634099</v>
      </c>
      <c r="H638" s="2">
        <v>1167.70842155636</v>
      </c>
    </row>
    <row r="639" spans="1:8" x14ac:dyDescent="0.3">
      <c r="A639" t="s">
        <v>706</v>
      </c>
      <c r="B639" t="s">
        <v>13</v>
      </c>
      <c r="C639">
        <v>21</v>
      </c>
      <c r="D639" t="s">
        <v>17</v>
      </c>
      <c r="E639" t="str">
        <f ca="1">IF(Table1[[#This Row],[is_smoker]]=0,"non-smoker","smoker")</f>
        <v>smoker</v>
      </c>
      <c r="F639" t="s">
        <v>19</v>
      </c>
      <c r="G639" s="2">
        <v>1.11788617886178</v>
      </c>
      <c r="H639" s="2">
        <v>3746.0690420659498</v>
      </c>
    </row>
    <row r="640" spans="1:8" x14ac:dyDescent="0.3">
      <c r="A640" t="s">
        <v>707</v>
      </c>
      <c r="B640" t="s">
        <v>128</v>
      </c>
      <c r="C640">
        <v>37</v>
      </c>
      <c r="D640" t="s">
        <v>10</v>
      </c>
      <c r="E640" t="str">
        <f ca="1">IF(Table1[[#This Row],[is_smoker]]=0,"non-smoker","smoker")</f>
        <v>non-smoker</v>
      </c>
      <c r="F640" t="s">
        <v>11</v>
      </c>
      <c r="G640" s="2">
        <v>1.1544715447154399</v>
      </c>
      <c r="H640" s="2">
        <v>1116.56130719</v>
      </c>
    </row>
    <row r="641" spans="1:8" x14ac:dyDescent="0.3">
      <c r="A641" t="s">
        <v>708</v>
      </c>
      <c r="B641" t="s">
        <v>13</v>
      </c>
      <c r="C641">
        <v>48</v>
      </c>
      <c r="D641" t="s">
        <v>17</v>
      </c>
      <c r="E641" t="str">
        <f ca="1">IF(Table1[[#This Row],[is_smoker]]=0,"non-smoker","smoker")</f>
        <v>non-smoker</v>
      </c>
      <c r="F641" t="s">
        <v>2004</v>
      </c>
      <c r="G641" s="2">
        <v>1.2073170731707299</v>
      </c>
      <c r="H641" s="2">
        <v>3107.9255114755701</v>
      </c>
    </row>
    <row r="642" spans="1:8" x14ac:dyDescent="0.3">
      <c r="A642" t="s">
        <v>709</v>
      </c>
      <c r="B642" t="s">
        <v>50</v>
      </c>
      <c r="C642">
        <v>59</v>
      </c>
      <c r="D642" t="s">
        <v>10</v>
      </c>
      <c r="E642" t="str">
        <f ca="1">IF(Table1[[#This Row],[is_smoker]]=0,"non-smoker","smoker")</f>
        <v>non-smoker</v>
      </c>
      <c r="F642" t="s">
        <v>56</v>
      </c>
      <c r="G642" s="2">
        <v>0.19512195121951201</v>
      </c>
      <c r="H642" s="2">
        <v>161.331239411627</v>
      </c>
    </row>
    <row r="643" spans="1:8" x14ac:dyDescent="0.3">
      <c r="A643" t="s">
        <v>710</v>
      </c>
      <c r="B643" t="s">
        <v>29</v>
      </c>
      <c r="C643">
        <v>32</v>
      </c>
      <c r="D643" t="s">
        <v>17</v>
      </c>
      <c r="E643" t="str">
        <f ca="1">IF(Table1[[#This Row],[is_smoker]]=0,"non-smoker","smoker")</f>
        <v>non-smoker</v>
      </c>
      <c r="F643" t="s">
        <v>44</v>
      </c>
      <c r="G643" s="2">
        <v>1.1341463414634101</v>
      </c>
      <c r="H643" s="2">
        <v>3272.17237832207</v>
      </c>
    </row>
    <row r="644" spans="1:8" x14ac:dyDescent="0.3">
      <c r="A644" t="s">
        <v>711</v>
      </c>
      <c r="B644" t="s">
        <v>82</v>
      </c>
      <c r="C644">
        <v>47</v>
      </c>
      <c r="D644" t="s">
        <v>10</v>
      </c>
      <c r="E644" t="str">
        <f ca="1">IF(Table1[[#This Row],[is_smoker]]=0,"non-smoker","smoker")</f>
        <v>non-smoker</v>
      </c>
      <c r="F644" t="s">
        <v>56</v>
      </c>
      <c r="G644" s="2">
        <v>0.19512195121951201</v>
      </c>
      <c r="H644" s="2">
        <v>175.73442083668601</v>
      </c>
    </row>
    <row r="645" spans="1:8" x14ac:dyDescent="0.3">
      <c r="A645" t="s">
        <v>712</v>
      </c>
      <c r="B645" t="s">
        <v>65</v>
      </c>
      <c r="C645">
        <v>39</v>
      </c>
      <c r="D645" t="s">
        <v>10</v>
      </c>
      <c r="E645" t="str">
        <f ca="1">IF(Table1[[#This Row],[is_smoker]]=0,"non-smoker","smoker")</f>
        <v>non-smoker</v>
      </c>
      <c r="F645" t="s">
        <v>48</v>
      </c>
      <c r="G645" s="2">
        <v>0.46341463414634099</v>
      </c>
      <c r="H645" s="2">
        <v>441.85457681126701</v>
      </c>
    </row>
    <row r="646" spans="1:8" x14ac:dyDescent="0.3">
      <c r="A646" t="s">
        <v>713</v>
      </c>
      <c r="B646" t="s">
        <v>584</v>
      </c>
      <c r="C646">
        <v>60</v>
      </c>
      <c r="D646" t="s">
        <v>17</v>
      </c>
      <c r="E646" t="str">
        <f ca="1">IF(Table1[[#This Row],[is_smoker]]=0,"non-smoker","smoker")</f>
        <v>non-smoker</v>
      </c>
      <c r="F646" t="s">
        <v>56</v>
      </c>
      <c r="G646" s="2">
        <v>0.19512195121951201</v>
      </c>
      <c r="H646" s="2">
        <v>461.12325553009299</v>
      </c>
    </row>
    <row r="647" spans="1:8" x14ac:dyDescent="0.3">
      <c r="A647" t="s">
        <v>714</v>
      </c>
      <c r="B647" t="s">
        <v>35</v>
      </c>
      <c r="C647">
        <v>25</v>
      </c>
      <c r="D647" t="s">
        <v>17</v>
      </c>
      <c r="E647" t="str">
        <f ca="1">IF(Table1[[#This Row],[is_smoker]]=0,"non-smoker","smoker")</f>
        <v>non-smoker</v>
      </c>
      <c r="F647" t="s">
        <v>19</v>
      </c>
      <c r="G647" s="2">
        <v>1.11788617886178</v>
      </c>
      <c r="H647" s="2">
        <v>3390.2264715265401</v>
      </c>
    </row>
    <row r="648" spans="1:8" x14ac:dyDescent="0.3">
      <c r="A648" t="s">
        <v>715</v>
      </c>
      <c r="B648" t="s">
        <v>23</v>
      </c>
      <c r="C648">
        <v>26</v>
      </c>
      <c r="D648" t="s">
        <v>17</v>
      </c>
      <c r="E648" t="str">
        <f ca="1">IF(Table1[[#This Row],[is_smoker]]=0,"non-smoker","smoker")</f>
        <v>non-smoker</v>
      </c>
      <c r="F648" t="s">
        <v>24</v>
      </c>
      <c r="G648" s="2">
        <v>1.70325203252032</v>
      </c>
      <c r="H648" s="2">
        <v>5128.7930582016197</v>
      </c>
    </row>
    <row r="649" spans="1:8" x14ac:dyDescent="0.3">
      <c r="A649" t="s">
        <v>716</v>
      </c>
      <c r="B649" t="s">
        <v>29</v>
      </c>
      <c r="C649">
        <v>61</v>
      </c>
      <c r="D649" t="s">
        <v>10</v>
      </c>
      <c r="E649" t="str">
        <f ca="1">IF(Table1[[#This Row],[is_smoker]]=0,"non-smoker","smoker")</f>
        <v>non-smoker</v>
      </c>
      <c r="F649" t="s">
        <v>61</v>
      </c>
      <c r="G649" s="2">
        <v>1.61788617886178</v>
      </c>
      <c r="H649" s="2">
        <v>1318.7746111409699</v>
      </c>
    </row>
    <row r="650" spans="1:8" x14ac:dyDescent="0.3">
      <c r="A650" t="s">
        <v>717</v>
      </c>
      <c r="B650" t="s">
        <v>35</v>
      </c>
      <c r="C650">
        <v>33</v>
      </c>
      <c r="D650" t="s">
        <v>17</v>
      </c>
      <c r="E650" t="str">
        <f ca="1">IF(Table1[[#This Row],[is_smoker]]=0,"non-smoker","smoker")</f>
        <v>non-smoker</v>
      </c>
      <c r="F650" t="s">
        <v>44</v>
      </c>
      <c r="G650" s="2">
        <v>1.1341463414634101</v>
      </c>
      <c r="H650" s="2">
        <v>3248.9371537286002</v>
      </c>
    </row>
    <row r="651" spans="1:8" x14ac:dyDescent="0.3">
      <c r="A651" t="s">
        <v>718</v>
      </c>
      <c r="B651" t="s">
        <v>60</v>
      </c>
      <c r="C651">
        <v>50</v>
      </c>
      <c r="D651" t="s">
        <v>17</v>
      </c>
      <c r="E651" t="str">
        <f ca="1">IF(Table1[[#This Row],[is_smoker]]=0,"non-smoker","smoker")</f>
        <v>non-smoker</v>
      </c>
      <c r="F651" t="s">
        <v>56</v>
      </c>
      <c r="G651" s="2">
        <v>0.19512195121951201</v>
      </c>
      <c r="H651" s="2">
        <v>495.18292642622498</v>
      </c>
    </row>
    <row r="652" spans="1:8" x14ac:dyDescent="0.3">
      <c r="A652" t="s">
        <v>719</v>
      </c>
      <c r="B652" t="s">
        <v>23</v>
      </c>
      <c r="C652">
        <v>63</v>
      </c>
      <c r="D652" t="s">
        <v>17</v>
      </c>
      <c r="E652" t="str">
        <f ca="1">IF(Table1[[#This Row],[is_smoker]]=0,"non-smoker","smoker")</f>
        <v>non-smoker</v>
      </c>
      <c r="F652" t="s">
        <v>56</v>
      </c>
      <c r="G652" s="2">
        <v>0.19512195121951201</v>
      </c>
      <c r="H652" s="2">
        <v>451.36973352152</v>
      </c>
    </row>
    <row r="653" spans="1:8" x14ac:dyDescent="0.3">
      <c r="A653" t="s">
        <v>720</v>
      </c>
      <c r="B653" t="s">
        <v>43</v>
      </c>
      <c r="C653">
        <v>52</v>
      </c>
      <c r="D653" t="s">
        <v>17</v>
      </c>
      <c r="E653" t="str">
        <f ca="1">IF(Table1[[#This Row],[is_smoker]]=0,"non-smoker","smoker")</f>
        <v>non-smoker</v>
      </c>
      <c r="F653" t="s">
        <v>48</v>
      </c>
      <c r="G653" s="2">
        <v>0.46341463414634099</v>
      </c>
      <c r="H653" s="2">
        <v>1159.41669230203</v>
      </c>
    </row>
    <row r="654" spans="1:8" x14ac:dyDescent="0.3">
      <c r="A654" t="s">
        <v>721</v>
      </c>
      <c r="B654" t="s">
        <v>60</v>
      </c>
      <c r="C654">
        <v>55</v>
      </c>
      <c r="D654" t="s">
        <v>17</v>
      </c>
      <c r="E654" t="str">
        <f ca="1">IF(Table1[[#This Row],[is_smoker]]=0,"non-smoker","smoker")</f>
        <v>non-smoker</v>
      </c>
      <c r="F654" t="s">
        <v>61</v>
      </c>
      <c r="G654" s="2">
        <v>1.61788617886178</v>
      </c>
      <c r="H654" s="2">
        <v>3962.17066625182</v>
      </c>
    </row>
    <row r="655" spans="1:8" x14ac:dyDescent="0.3">
      <c r="A655" s="1" t="s">
        <v>722</v>
      </c>
      <c r="B655" t="s">
        <v>584</v>
      </c>
      <c r="C655">
        <v>18</v>
      </c>
      <c r="D655" t="s">
        <v>10</v>
      </c>
      <c r="E655" t="str">
        <f ca="1">IF(Table1[[#This Row],[is_smoker]]=0,"non-smoker","smoker")</f>
        <v>non-smoker</v>
      </c>
      <c r="F655" t="s">
        <v>27</v>
      </c>
      <c r="G655" s="2">
        <v>0.53252032520325199</v>
      </c>
      <c r="H655" s="2">
        <v>589.70924927383396</v>
      </c>
    </row>
    <row r="656" spans="1:8" x14ac:dyDescent="0.3">
      <c r="A656" t="s">
        <v>723</v>
      </c>
      <c r="B656" t="s">
        <v>29</v>
      </c>
      <c r="C656">
        <v>27</v>
      </c>
      <c r="D656" t="s">
        <v>17</v>
      </c>
      <c r="E656" t="str">
        <f ca="1">IF(Table1[[#This Row],[is_smoker]]=0,"non-smoker","smoker")</f>
        <v>non-smoker</v>
      </c>
      <c r="F656" t="s">
        <v>56</v>
      </c>
      <c r="G656" s="2">
        <v>0.19512195121951201</v>
      </c>
      <c r="H656" s="2">
        <v>583.37461433907197</v>
      </c>
    </row>
    <row r="657" spans="1:8" x14ac:dyDescent="0.3">
      <c r="A657" t="s">
        <v>724</v>
      </c>
      <c r="B657" t="s">
        <v>43</v>
      </c>
      <c r="C657">
        <v>33</v>
      </c>
      <c r="D657" t="s">
        <v>10</v>
      </c>
      <c r="E657" t="str">
        <f ca="1">IF(Table1[[#This Row],[is_smoker]]=0,"non-smoker","smoker")</f>
        <v>non-smoker</v>
      </c>
      <c r="F657" t="s">
        <v>19</v>
      </c>
      <c r="G657" s="2">
        <v>1.11788617886178</v>
      </c>
      <c r="H657" s="2">
        <v>1112.4394519611001</v>
      </c>
    </row>
    <row r="658" spans="1:8" x14ac:dyDescent="0.3">
      <c r="A658" t="s">
        <v>725</v>
      </c>
      <c r="B658" t="s">
        <v>29</v>
      </c>
      <c r="C658">
        <v>28</v>
      </c>
      <c r="D658" t="s">
        <v>10</v>
      </c>
      <c r="E658" t="str">
        <f ca="1">IF(Table1[[#This Row],[is_smoker]]=0,"non-smoker","smoker")</f>
        <v>non-smoker</v>
      </c>
      <c r="F658" t="s">
        <v>11</v>
      </c>
      <c r="G658" s="2">
        <v>1.1544715447154399</v>
      </c>
      <c r="H658" s="2">
        <v>1190.5190443721599</v>
      </c>
    </row>
    <row r="659" spans="1:8" x14ac:dyDescent="0.3">
      <c r="A659" t="s">
        <v>726</v>
      </c>
      <c r="B659" t="s">
        <v>201</v>
      </c>
      <c r="C659">
        <v>58</v>
      </c>
      <c r="D659" t="s">
        <v>10</v>
      </c>
      <c r="E659" t="str">
        <f ca="1">IF(Table1[[#This Row],[is_smoker]]=0,"non-smoker","smoker")</f>
        <v>non-smoker</v>
      </c>
      <c r="F659" t="s">
        <v>44</v>
      </c>
      <c r="G659" s="2">
        <v>1.1341463414634101</v>
      </c>
      <c r="H659" s="2">
        <v>944.44419120329599</v>
      </c>
    </row>
    <row r="660" spans="1:8" x14ac:dyDescent="0.3">
      <c r="A660" t="s">
        <v>727</v>
      </c>
      <c r="B660" t="s">
        <v>178</v>
      </c>
      <c r="C660">
        <v>25</v>
      </c>
      <c r="D660" t="s">
        <v>10</v>
      </c>
      <c r="E660" t="str">
        <f ca="1">IF(Table1[[#This Row],[is_smoker]]=0,"non-smoker","smoker")</f>
        <v>non-smoker</v>
      </c>
      <c r="F660" t="s">
        <v>56</v>
      </c>
      <c r="G660" s="2">
        <v>0.19512195121951201</v>
      </c>
      <c r="H660" s="2">
        <v>205.562473788685</v>
      </c>
    </row>
    <row r="661" spans="1:8" x14ac:dyDescent="0.3">
      <c r="A661" t="s">
        <v>728</v>
      </c>
      <c r="B661" t="s">
        <v>46</v>
      </c>
      <c r="C661">
        <v>20</v>
      </c>
      <c r="D661" t="s">
        <v>17</v>
      </c>
      <c r="E661" t="str">
        <f ca="1">IF(Table1[[#This Row],[is_smoker]]=0,"non-smoker","smoker")</f>
        <v>non-smoker</v>
      </c>
      <c r="F661" t="s">
        <v>19</v>
      </c>
      <c r="G661" s="2">
        <v>1.11788617886178</v>
      </c>
      <c r="H661" s="2">
        <v>3513.20125337435</v>
      </c>
    </row>
    <row r="662" spans="1:8" x14ac:dyDescent="0.3">
      <c r="A662" t="s">
        <v>729</v>
      </c>
      <c r="B662" t="s">
        <v>82</v>
      </c>
      <c r="C662">
        <v>61</v>
      </c>
      <c r="D662" t="s">
        <v>10</v>
      </c>
      <c r="E662" t="str">
        <f ca="1">IF(Table1[[#This Row],[is_smoker]]=0,"non-smoker","smoker")</f>
        <v>non-smoker</v>
      </c>
      <c r="F662" t="s">
        <v>19</v>
      </c>
      <c r="G662" s="2">
        <v>1.11788617886178</v>
      </c>
      <c r="H662" s="2">
        <v>911.21361322554799</v>
      </c>
    </row>
    <row r="663" spans="1:8" x14ac:dyDescent="0.3">
      <c r="A663" t="s">
        <v>730</v>
      </c>
      <c r="B663" t="s">
        <v>23</v>
      </c>
      <c r="C663">
        <v>22</v>
      </c>
      <c r="D663" t="s">
        <v>10</v>
      </c>
      <c r="E663" t="str">
        <f ca="1">IF(Table1[[#This Row],[is_smoker]]=0,"non-smoker","smoker")</f>
        <v>smoker</v>
      </c>
      <c r="F663" t="s">
        <v>44</v>
      </c>
      <c r="G663" s="2">
        <v>1.1341463414634101</v>
      </c>
      <c r="H663" s="2">
        <v>1310.86812844531</v>
      </c>
    </row>
    <row r="664" spans="1:8" x14ac:dyDescent="0.3">
      <c r="A664" t="s">
        <v>731</v>
      </c>
      <c r="B664" t="s">
        <v>13</v>
      </c>
      <c r="C664">
        <v>63</v>
      </c>
      <c r="D664" t="s">
        <v>17</v>
      </c>
      <c r="E664" t="str">
        <f ca="1">IF(Table1[[#This Row],[is_smoker]]=0,"non-smoker","smoker")</f>
        <v>non-smoker</v>
      </c>
      <c r="F664" t="s">
        <v>27</v>
      </c>
      <c r="G664" s="2">
        <v>0.53252032520325199</v>
      </c>
      <c r="H664" s="2">
        <v>1231.8632310691401</v>
      </c>
    </row>
    <row r="665" spans="1:8" x14ac:dyDescent="0.3">
      <c r="A665" t="s">
        <v>732</v>
      </c>
      <c r="B665" t="s">
        <v>128</v>
      </c>
      <c r="C665">
        <v>28</v>
      </c>
      <c r="D665" t="s">
        <v>17</v>
      </c>
      <c r="E665" t="str">
        <f ca="1">IF(Table1[[#This Row],[is_smoker]]=0,"non-smoker","smoker")</f>
        <v>non-smoker</v>
      </c>
      <c r="F665" t="s">
        <v>19</v>
      </c>
      <c r="G665" s="2">
        <v>1.11788617886178</v>
      </c>
      <c r="H665" s="2">
        <v>3318.5175561605802</v>
      </c>
    </row>
    <row r="666" spans="1:8" x14ac:dyDescent="0.3">
      <c r="A666" t="s">
        <v>733</v>
      </c>
      <c r="B666" t="s">
        <v>16</v>
      </c>
      <c r="C666">
        <v>40</v>
      </c>
      <c r="D666" t="s">
        <v>17</v>
      </c>
      <c r="E666" t="str">
        <f ca="1">IF(Table1[[#This Row],[is_smoker]]=0,"non-smoker","smoker")</f>
        <v>non-smoker</v>
      </c>
      <c r="F666" t="s">
        <v>11</v>
      </c>
      <c r="G666" s="2">
        <v>1.1544715447154399</v>
      </c>
      <c r="H666" s="2">
        <v>3146.2367645235599</v>
      </c>
    </row>
    <row r="667" spans="1:8" x14ac:dyDescent="0.3">
      <c r="A667" t="s">
        <v>734</v>
      </c>
      <c r="B667" t="s">
        <v>178</v>
      </c>
      <c r="C667">
        <v>52</v>
      </c>
      <c r="D667" t="s">
        <v>10</v>
      </c>
      <c r="E667" t="str">
        <f ca="1">IF(Table1[[#This Row],[is_smoker]]=0,"non-smoker","smoker")</f>
        <v>non-smoker</v>
      </c>
      <c r="F667" t="s">
        <v>19</v>
      </c>
      <c r="G667" s="2">
        <v>1.11788617886178</v>
      </c>
      <c r="H667" s="2">
        <v>971.56972308694696</v>
      </c>
    </row>
    <row r="668" spans="1:8" x14ac:dyDescent="0.3">
      <c r="A668" t="s">
        <v>735</v>
      </c>
      <c r="B668" t="s">
        <v>229</v>
      </c>
      <c r="C668">
        <v>50</v>
      </c>
      <c r="D668" t="s">
        <v>17</v>
      </c>
      <c r="E668" t="str">
        <f ca="1">IF(Table1[[#This Row],[is_smoker]]=0,"non-smoker","smoker")</f>
        <v>non-smoker</v>
      </c>
      <c r="F668" t="s">
        <v>19</v>
      </c>
      <c r="G668" s="2">
        <v>1.11788617886178</v>
      </c>
      <c r="H668" s="2">
        <v>2836.9855159835802</v>
      </c>
    </row>
    <row r="669" spans="1:8" x14ac:dyDescent="0.3">
      <c r="A669" s="1" t="s">
        <v>736</v>
      </c>
      <c r="B669" t="s">
        <v>60</v>
      </c>
      <c r="C669">
        <v>33</v>
      </c>
      <c r="D669" t="s">
        <v>17</v>
      </c>
      <c r="E669" t="str">
        <f ca="1">IF(Table1[[#This Row],[is_smoker]]=0,"non-smoker","smoker")</f>
        <v>non-smoker</v>
      </c>
      <c r="F669" t="s">
        <v>19</v>
      </c>
      <c r="G669" s="2">
        <v>1.11788617886178</v>
      </c>
      <c r="H669" s="2">
        <v>3202.3574095891199</v>
      </c>
    </row>
    <row r="670" spans="1:8" x14ac:dyDescent="0.3">
      <c r="A670" s="1" t="s">
        <v>737</v>
      </c>
      <c r="B670" t="s">
        <v>13</v>
      </c>
      <c r="C670">
        <v>58</v>
      </c>
      <c r="D670" t="s">
        <v>10</v>
      </c>
      <c r="E670" t="str">
        <f ca="1">IF(Table1[[#This Row],[is_smoker]]=0,"non-smoker","smoker")</f>
        <v>non-smoker</v>
      </c>
      <c r="F670" t="s">
        <v>24</v>
      </c>
      <c r="G670" s="2">
        <v>1.70325203252032</v>
      </c>
      <c r="H670" s="2">
        <v>1418.3588391189201</v>
      </c>
    </row>
    <row r="671" spans="1:8" x14ac:dyDescent="0.3">
      <c r="A671" t="s">
        <v>738</v>
      </c>
      <c r="B671" t="s">
        <v>23</v>
      </c>
      <c r="C671">
        <v>43</v>
      </c>
      <c r="D671" t="s">
        <v>10</v>
      </c>
      <c r="E671" t="str">
        <f ca="1">IF(Table1[[#This Row],[is_smoker]]=0,"non-smoker","smoker")</f>
        <v>non-smoker</v>
      </c>
      <c r="F671" t="s">
        <v>24</v>
      </c>
      <c r="G671" s="2">
        <v>1.70325203252032</v>
      </c>
      <c r="H671" s="2">
        <v>1578.37093419026</v>
      </c>
    </row>
    <row r="672" spans="1:8" x14ac:dyDescent="0.3">
      <c r="A672" t="s">
        <v>739</v>
      </c>
      <c r="B672" t="s">
        <v>106</v>
      </c>
      <c r="C672">
        <v>32</v>
      </c>
      <c r="D672" t="s">
        <v>17</v>
      </c>
      <c r="E672" t="str">
        <f ca="1">IF(Table1[[#This Row],[is_smoker]]=0,"non-smoker","smoker")</f>
        <v>non-smoker</v>
      </c>
      <c r="F672" t="s">
        <v>27</v>
      </c>
      <c r="G672" s="2">
        <v>0.53252032520325199</v>
      </c>
      <c r="H672" s="2">
        <v>1536.3963496781</v>
      </c>
    </row>
    <row r="673" spans="1:8" x14ac:dyDescent="0.3">
      <c r="A673" t="s">
        <v>740</v>
      </c>
      <c r="B673" t="s">
        <v>43</v>
      </c>
      <c r="C673">
        <v>48</v>
      </c>
      <c r="D673" t="s">
        <v>17</v>
      </c>
      <c r="E673" t="str">
        <f ca="1">IF(Table1[[#This Row],[is_smoker]]=0,"non-smoker","smoker")</f>
        <v>non-smoker</v>
      </c>
      <c r="F673" t="s">
        <v>56</v>
      </c>
      <c r="G673" s="2">
        <v>0.19512195121951201</v>
      </c>
      <c r="H673" s="2">
        <v>502.290991753627</v>
      </c>
    </row>
    <row r="674" spans="1:8" x14ac:dyDescent="0.3">
      <c r="A674" t="s">
        <v>741</v>
      </c>
      <c r="B674" t="s">
        <v>29</v>
      </c>
      <c r="C674">
        <v>25</v>
      </c>
      <c r="D674" t="s">
        <v>17</v>
      </c>
      <c r="E674" t="str">
        <f ca="1">IF(Table1[[#This Row],[is_smoker]]=0,"non-smoker","smoker")</f>
        <v>non-smoker</v>
      </c>
      <c r="F674" t="s">
        <v>19</v>
      </c>
      <c r="G674" s="2">
        <v>1.11788617886178</v>
      </c>
      <c r="H674" s="2">
        <v>3390.2264715265401</v>
      </c>
    </row>
    <row r="675" spans="1:8" x14ac:dyDescent="0.3">
      <c r="A675" t="s">
        <v>742</v>
      </c>
      <c r="B675" t="s">
        <v>50</v>
      </c>
      <c r="C675">
        <v>32</v>
      </c>
      <c r="D675" t="s">
        <v>10</v>
      </c>
      <c r="E675" t="str">
        <f ca="1">IF(Table1[[#This Row],[is_smoker]]=0,"non-smoker","smoker")</f>
        <v>non-smoker</v>
      </c>
      <c r="F675" t="s">
        <v>61</v>
      </c>
      <c r="G675" s="2">
        <v>1.61788617886178</v>
      </c>
      <c r="H675" s="2">
        <v>1621.51744128269</v>
      </c>
    </row>
    <row r="676" spans="1:8" x14ac:dyDescent="0.3">
      <c r="A676" t="s">
        <v>743</v>
      </c>
      <c r="B676" t="s">
        <v>37</v>
      </c>
      <c r="C676">
        <v>56</v>
      </c>
      <c r="D676" t="s">
        <v>10</v>
      </c>
      <c r="E676" t="str">
        <f ca="1">IF(Table1[[#This Row],[is_smoker]]=0,"non-smoker","smoker")</f>
        <v>non-smoker</v>
      </c>
      <c r="F676" t="s">
        <v>56</v>
      </c>
      <c r="G676" s="2">
        <v>0.19512195121951201</v>
      </c>
      <c r="H676" s="2">
        <v>164.81740092714401</v>
      </c>
    </row>
    <row r="677" spans="1:8" x14ac:dyDescent="0.3">
      <c r="A677" t="s">
        <v>744</v>
      </c>
      <c r="B677" t="s">
        <v>157</v>
      </c>
      <c r="C677">
        <v>27</v>
      </c>
      <c r="D677" t="s">
        <v>10</v>
      </c>
      <c r="E677" t="str">
        <f ca="1">IF(Table1[[#This Row],[is_smoker]]=0,"non-smoker","smoker")</f>
        <v>non-smoker</v>
      </c>
      <c r="F677" t="s">
        <v>27</v>
      </c>
      <c r="G677" s="2">
        <v>0.53252032520325199</v>
      </c>
      <c r="H677" s="2">
        <v>553.07517619633404</v>
      </c>
    </row>
    <row r="678" spans="1:8" x14ac:dyDescent="0.3">
      <c r="A678" t="s">
        <v>745</v>
      </c>
      <c r="B678" t="s">
        <v>60</v>
      </c>
      <c r="C678">
        <v>22</v>
      </c>
      <c r="D678" t="s">
        <v>17</v>
      </c>
      <c r="E678" t="str">
        <f ca="1">IF(Table1[[#This Row],[is_smoker]]=0,"non-smoker","smoker")</f>
        <v>smoker</v>
      </c>
      <c r="F678" t="s">
        <v>14</v>
      </c>
      <c r="G678" s="2">
        <v>0.66666666666666596</v>
      </c>
      <c r="H678" s="2">
        <v>2218.1559064333801</v>
      </c>
    </row>
    <row r="679" spans="1:8" x14ac:dyDescent="0.3">
      <c r="A679" t="s">
        <v>746</v>
      </c>
      <c r="B679" t="s">
        <v>113</v>
      </c>
      <c r="C679">
        <v>26</v>
      </c>
      <c r="D679" t="s">
        <v>10</v>
      </c>
      <c r="E679" t="str">
        <f ca="1">IF(Table1[[#This Row],[is_smoker]]=0,"non-smoker","smoker")</f>
        <v>non-smoker</v>
      </c>
      <c r="F679" t="s">
        <v>56</v>
      </c>
      <c r="G679" s="2">
        <v>0.19512195121951201</v>
      </c>
      <c r="H679" s="2">
        <v>204.10280428040599</v>
      </c>
    </row>
    <row r="680" spans="1:8" x14ac:dyDescent="0.3">
      <c r="A680" t="s">
        <v>747</v>
      </c>
      <c r="B680" t="s">
        <v>16</v>
      </c>
      <c r="C680">
        <v>20</v>
      </c>
      <c r="D680" t="s">
        <v>10</v>
      </c>
      <c r="E680" t="str">
        <f ca="1">IF(Table1[[#This Row],[is_smoker]]=0,"non-smoker","smoker")</f>
        <v>non-smoker</v>
      </c>
      <c r="F680" t="s">
        <v>56</v>
      </c>
      <c r="G680" s="2">
        <v>0.19512195121951201</v>
      </c>
      <c r="H680" s="2">
        <v>213.01890791854899</v>
      </c>
    </row>
    <row r="681" spans="1:8" x14ac:dyDescent="0.3">
      <c r="A681" t="s">
        <v>748</v>
      </c>
      <c r="B681" t="s">
        <v>110</v>
      </c>
      <c r="C681">
        <v>28</v>
      </c>
      <c r="D681" t="s">
        <v>10</v>
      </c>
      <c r="E681" t="str">
        <f ca="1">IF(Table1[[#This Row],[is_smoker]]=0,"non-smoker","smoker")</f>
        <v>non-smoker</v>
      </c>
      <c r="F681" t="s">
        <v>2004</v>
      </c>
      <c r="G681" s="2">
        <v>1.2073170731707299</v>
      </c>
      <c r="H681" s="2">
        <v>1245.0146344314501</v>
      </c>
    </row>
    <row r="682" spans="1:8" x14ac:dyDescent="0.3">
      <c r="A682" t="s">
        <v>749</v>
      </c>
      <c r="B682" t="s">
        <v>110</v>
      </c>
      <c r="C682">
        <v>23</v>
      </c>
      <c r="D682" t="s">
        <v>17</v>
      </c>
      <c r="E682" t="str">
        <f ca="1">IF(Table1[[#This Row],[is_smoker]]=0,"non-smoker","smoker")</f>
        <v>non-smoker</v>
      </c>
      <c r="F682" t="s">
        <v>48</v>
      </c>
      <c r="G682" s="2">
        <v>0.46341463414634099</v>
      </c>
      <c r="H682" s="2">
        <v>1425.5767228150301</v>
      </c>
    </row>
    <row r="683" spans="1:8" x14ac:dyDescent="0.3">
      <c r="A683" t="s">
        <v>750</v>
      </c>
      <c r="B683" t="s">
        <v>43</v>
      </c>
      <c r="C683">
        <v>36</v>
      </c>
      <c r="D683" t="s">
        <v>17</v>
      </c>
      <c r="E683" t="str">
        <f ca="1">IF(Table1[[#This Row],[is_smoker]]=0,"non-smoker","smoker")</f>
        <v>non-smoker</v>
      </c>
      <c r="F683" t="s">
        <v>2004</v>
      </c>
      <c r="G683" s="2">
        <v>1.2073170731707299</v>
      </c>
      <c r="H683" s="2">
        <v>3385.3920155488299</v>
      </c>
    </row>
    <row r="684" spans="1:8" x14ac:dyDescent="0.3">
      <c r="A684" t="s">
        <v>751</v>
      </c>
      <c r="B684" t="s">
        <v>128</v>
      </c>
      <c r="C684">
        <v>61</v>
      </c>
      <c r="D684" t="s">
        <v>10</v>
      </c>
      <c r="E684" t="str">
        <f ca="1">IF(Table1[[#This Row],[is_smoker]]=0,"non-smoker","smoker")</f>
        <v>non-smoker</v>
      </c>
      <c r="F684" t="s">
        <v>11</v>
      </c>
      <c r="G684" s="2">
        <v>1.1544715447154399</v>
      </c>
      <c r="H684" s="2">
        <v>941.03514965838394</v>
      </c>
    </row>
    <row r="685" spans="1:8" x14ac:dyDescent="0.3">
      <c r="A685" t="s">
        <v>752</v>
      </c>
      <c r="B685" t="s">
        <v>33</v>
      </c>
      <c r="C685">
        <v>24</v>
      </c>
      <c r="D685" t="s">
        <v>10</v>
      </c>
      <c r="E685" t="str">
        <f ca="1">IF(Table1[[#This Row],[is_smoker]]=0,"non-smoker","smoker")</f>
        <v>non-smoker</v>
      </c>
      <c r="F685" t="s">
        <v>24</v>
      </c>
      <c r="G685" s="2">
        <v>1.70325203252032</v>
      </c>
      <c r="H685" s="2">
        <v>1807.22191655289</v>
      </c>
    </row>
    <row r="686" spans="1:8" x14ac:dyDescent="0.3">
      <c r="A686" t="s">
        <v>753</v>
      </c>
      <c r="B686" t="s">
        <v>60</v>
      </c>
      <c r="C686">
        <v>59</v>
      </c>
      <c r="D686" t="s">
        <v>10</v>
      </c>
      <c r="E686" t="str">
        <f ca="1">IF(Table1[[#This Row],[is_smoker]]=0,"non-smoker","smoker")</f>
        <v>non-smoker</v>
      </c>
      <c r="F686" t="s">
        <v>24</v>
      </c>
      <c r="G686" s="2">
        <v>1.70325203252032</v>
      </c>
      <c r="H686" s="2">
        <v>1408.2872773639899</v>
      </c>
    </row>
    <row r="687" spans="1:8" x14ac:dyDescent="0.3">
      <c r="A687" t="s">
        <v>754</v>
      </c>
      <c r="B687" t="s">
        <v>50</v>
      </c>
      <c r="C687">
        <v>45</v>
      </c>
      <c r="D687" t="s">
        <v>10</v>
      </c>
      <c r="E687" t="str">
        <f ca="1">IF(Table1[[#This Row],[is_smoker]]=0,"non-smoker","smoker")</f>
        <v>non-smoker</v>
      </c>
      <c r="F687" t="s">
        <v>48</v>
      </c>
      <c r="G687" s="2">
        <v>0.46341463414634099</v>
      </c>
      <c r="H687" s="2">
        <v>423.360344358703</v>
      </c>
    </row>
    <row r="688" spans="1:8" x14ac:dyDescent="0.3">
      <c r="A688" t="s">
        <v>755</v>
      </c>
      <c r="B688" t="s">
        <v>60</v>
      </c>
      <c r="C688">
        <v>63</v>
      </c>
      <c r="D688" t="s">
        <v>10</v>
      </c>
      <c r="E688" t="str">
        <f ca="1">IF(Table1[[#This Row],[is_smoker]]=0,"non-smoker","smoker")</f>
        <v>non-smoker</v>
      </c>
      <c r="F688" t="s">
        <v>44</v>
      </c>
      <c r="G688" s="2">
        <v>1.1341463414634101</v>
      </c>
      <c r="H688" s="2">
        <v>911.38522019527102</v>
      </c>
    </row>
    <row r="689" spans="1:8" x14ac:dyDescent="0.3">
      <c r="A689" t="s">
        <v>756</v>
      </c>
      <c r="B689" t="s">
        <v>60</v>
      </c>
      <c r="C689">
        <v>36</v>
      </c>
      <c r="D689" t="s">
        <v>17</v>
      </c>
      <c r="E689" t="str">
        <f ca="1">IF(Table1[[#This Row],[is_smoker]]=0,"non-smoker","smoker")</f>
        <v>non-smoker</v>
      </c>
      <c r="F689" t="s">
        <v>44</v>
      </c>
      <c r="G689" s="2">
        <v>1.1341463414634101</v>
      </c>
      <c r="H689" s="2">
        <v>3180.2167418792001</v>
      </c>
    </row>
    <row r="690" spans="1:8" x14ac:dyDescent="0.3">
      <c r="A690" t="s">
        <v>757</v>
      </c>
      <c r="B690" t="s">
        <v>113</v>
      </c>
      <c r="C690">
        <v>52</v>
      </c>
      <c r="D690" t="s">
        <v>17</v>
      </c>
      <c r="E690" t="str">
        <f ca="1">IF(Table1[[#This Row],[is_smoker]]=0,"non-smoker","smoker")</f>
        <v>non-smoker</v>
      </c>
      <c r="F690" t="s">
        <v>27</v>
      </c>
      <c r="G690" s="2">
        <v>0.53252032520325199</v>
      </c>
      <c r="H690" s="2">
        <v>1332.3121639610999</v>
      </c>
    </row>
    <row r="691" spans="1:8" x14ac:dyDescent="0.3">
      <c r="A691" t="s">
        <v>758</v>
      </c>
      <c r="B691" t="s">
        <v>13</v>
      </c>
      <c r="C691">
        <v>31</v>
      </c>
      <c r="D691" t="s">
        <v>17</v>
      </c>
      <c r="E691" t="str">
        <f ca="1">IF(Table1[[#This Row],[is_smoker]]=0,"non-smoker","smoker")</f>
        <v>non-smoker</v>
      </c>
      <c r="F691" t="s">
        <v>48</v>
      </c>
      <c r="G691" s="2">
        <v>0.46341463414634099</v>
      </c>
      <c r="H691" s="2">
        <v>1346.5785308404199</v>
      </c>
    </row>
    <row r="692" spans="1:8" x14ac:dyDescent="0.3">
      <c r="A692" t="s">
        <v>759</v>
      </c>
      <c r="B692" t="s">
        <v>29</v>
      </c>
      <c r="C692">
        <v>46</v>
      </c>
      <c r="D692" t="s">
        <v>10</v>
      </c>
      <c r="E692" t="str">
        <f ca="1">IF(Table1[[#This Row],[is_smoker]]=0,"non-smoker","smoker")</f>
        <v>non-smoker</v>
      </c>
      <c r="F692" t="s">
        <v>56</v>
      </c>
      <c r="G692" s="2">
        <v>0.19512195121951201</v>
      </c>
      <c r="H692" s="2">
        <v>176.99120991684899</v>
      </c>
    </row>
    <row r="693" spans="1:8" x14ac:dyDescent="0.3">
      <c r="A693" t="s">
        <v>760</v>
      </c>
      <c r="B693" t="s">
        <v>13</v>
      </c>
      <c r="C693">
        <v>59</v>
      </c>
      <c r="D693" t="s">
        <v>10</v>
      </c>
      <c r="E693" t="str">
        <f ca="1">IF(Table1[[#This Row],[is_smoker]]=0,"non-smoker","smoker")</f>
        <v>non-smoker</v>
      </c>
      <c r="F693" t="s">
        <v>44</v>
      </c>
      <c r="G693" s="2">
        <v>1.1341463414634101</v>
      </c>
      <c r="H693" s="2">
        <v>937.737829080084</v>
      </c>
    </row>
    <row r="694" spans="1:8" x14ac:dyDescent="0.3">
      <c r="A694" t="s">
        <v>761</v>
      </c>
      <c r="B694" t="s">
        <v>92</v>
      </c>
      <c r="C694">
        <v>28</v>
      </c>
      <c r="D694" t="s">
        <v>10</v>
      </c>
      <c r="E694" t="str">
        <f ca="1">IF(Table1[[#This Row],[is_smoker]]=0,"non-smoker","smoker")</f>
        <v>non-smoker</v>
      </c>
      <c r="F694" t="s">
        <v>19</v>
      </c>
      <c r="G694" s="2">
        <v>1.11788617886178</v>
      </c>
      <c r="H694" s="2">
        <v>1152.7913281772701</v>
      </c>
    </row>
    <row r="695" spans="1:8" x14ac:dyDescent="0.3">
      <c r="A695" t="s">
        <v>762</v>
      </c>
      <c r="B695" t="s">
        <v>92</v>
      </c>
      <c r="C695">
        <v>47</v>
      </c>
      <c r="D695" t="s">
        <v>10</v>
      </c>
      <c r="E695" t="str">
        <f ca="1">IF(Table1[[#This Row],[is_smoker]]=0,"non-smoker","smoker")</f>
        <v>non-smoker</v>
      </c>
      <c r="F695" t="s">
        <v>61</v>
      </c>
      <c r="G695" s="2">
        <v>1.61788617886178</v>
      </c>
      <c r="H695" s="2">
        <v>1457.13123943752</v>
      </c>
    </row>
    <row r="696" spans="1:8" x14ac:dyDescent="0.3">
      <c r="A696" t="s">
        <v>763</v>
      </c>
      <c r="B696" t="s">
        <v>23</v>
      </c>
      <c r="C696">
        <v>58</v>
      </c>
      <c r="D696" t="s">
        <v>17</v>
      </c>
      <c r="E696" t="str">
        <f ca="1">IF(Table1[[#This Row],[is_smoker]]=0,"non-smoker","smoker")</f>
        <v>non-smoker</v>
      </c>
      <c r="F696" t="s">
        <v>56</v>
      </c>
      <c r="G696" s="2">
        <v>0.19512195121951201</v>
      </c>
      <c r="H696" s="2">
        <v>467.74241392464398</v>
      </c>
    </row>
    <row r="697" spans="1:8" x14ac:dyDescent="0.3">
      <c r="A697" t="s">
        <v>764</v>
      </c>
      <c r="B697" t="s">
        <v>110</v>
      </c>
      <c r="C697">
        <v>48</v>
      </c>
      <c r="D697" t="s">
        <v>17</v>
      </c>
      <c r="E697" t="str">
        <f ca="1">IF(Table1[[#This Row],[is_smoker]]=0,"non-smoker","smoker")</f>
        <v>non-smoker</v>
      </c>
      <c r="F697" t="s">
        <v>11</v>
      </c>
      <c r="G697" s="2">
        <v>1.1544715447154399</v>
      </c>
      <c r="H697" s="2">
        <v>2971.8883678756301</v>
      </c>
    </row>
    <row r="698" spans="1:8" x14ac:dyDescent="0.3">
      <c r="A698" t="s">
        <v>765</v>
      </c>
      <c r="B698" t="s">
        <v>178</v>
      </c>
      <c r="C698">
        <v>51</v>
      </c>
      <c r="D698" t="s">
        <v>10</v>
      </c>
      <c r="E698" t="str">
        <f ca="1">IF(Table1[[#This Row],[is_smoker]]=0,"non-smoker","smoker")</f>
        <v>non-smoker</v>
      </c>
      <c r="F698" t="s">
        <v>19</v>
      </c>
      <c r="G698" s="2">
        <v>1.11788617886178</v>
      </c>
      <c r="H698" s="2">
        <v>978.51803869170703</v>
      </c>
    </row>
    <row r="699" spans="1:8" x14ac:dyDescent="0.3">
      <c r="A699" t="s">
        <v>766</v>
      </c>
      <c r="B699" t="s">
        <v>13</v>
      </c>
      <c r="C699">
        <v>46</v>
      </c>
      <c r="D699" t="s">
        <v>17</v>
      </c>
      <c r="E699" t="str">
        <f ca="1">IF(Table1[[#This Row],[is_smoker]]=0,"non-smoker","smoker")</f>
        <v>non-smoker</v>
      </c>
      <c r="F699" t="s">
        <v>19</v>
      </c>
      <c r="G699" s="2">
        <v>1.11788617886178</v>
      </c>
      <c r="H699" s="2">
        <v>2919.0166572155799</v>
      </c>
    </row>
    <row r="700" spans="1:8" x14ac:dyDescent="0.3">
      <c r="A700" t="s">
        <v>767</v>
      </c>
      <c r="B700" t="s">
        <v>88</v>
      </c>
      <c r="C700">
        <v>44</v>
      </c>
      <c r="D700" t="s">
        <v>10</v>
      </c>
      <c r="E700" t="str">
        <f ca="1">IF(Table1[[#This Row],[is_smoker]]=0,"non-smoker","smoker")</f>
        <v>non-smoker</v>
      </c>
      <c r="F700" t="s">
        <v>48</v>
      </c>
      <c r="G700" s="2">
        <v>0.46341463414634099</v>
      </c>
      <c r="H700" s="2">
        <v>426.38806456986498</v>
      </c>
    </row>
    <row r="701" spans="1:8" x14ac:dyDescent="0.3">
      <c r="A701" t="s">
        <v>768</v>
      </c>
      <c r="B701" t="s">
        <v>53</v>
      </c>
      <c r="C701">
        <v>43</v>
      </c>
      <c r="D701" t="s">
        <v>17</v>
      </c>
      <c r="E701" t="str">
        <f ca="1">IF(Table1[[#This Row],[is_smoker]]=0,"non-smoker","smoker")</f>
        <v>non-smoker</v>
      </c>
      <c r="F701" t="s">
        <v>27</v>
      </c>
      <c r="G701" s="2">
        <v>0.53252032520325199</v>
      </c>
      <c r="H701" s="2">
        <v>1420.5606033726499</v>
      </c>
    </row>
    <row r="702" spans="1:8" x14ac:dyDescent="0.3">
      <c r="A702" t="s">
        <v>769</v>
      </c>
      <c r="B702" t="s">
        <v>46</v>
      </c>
      <c r="C702">
        <v>35</v>
      </c>
      <c r="D702" t="s">
        <v>17</v>
      </c>
      <c r="E702" t="str">
        <f ca="1">IF(Table1[[#This Row],[is_smoker]]=0,"non-smoker","smoker")</f>
        <v>non-smoker</v>
      </c>
      <c r="F702" t="s">
        <v>11</v>
      </c>
      <c r="G702" s="2">
        <v>1.1544715447154399</v>
      </c>
      <c r="H702" s="2">
        <v>3260.3612287764299</v>
      </c>
    </row>
    <row r="703" spans="1:8" x14ac:dyDescent="0.3">
      <c r="A703" s="1" t="s">
        <v>770</v>
      </c>
      <c r="B703" t="s">
        <v>60</v>
      </c>
      <c r="C703">
        <v>27</v>
      </c>
      <c r="D703" t="s">
        <v>17</v>
      </c>
      <c r="E703" t="str">
        <f ca="1">IF(Table1[[#This Row],[is_smoker]]=0,"non-smoker","smoker")</f>
        <v>non-smoker</v>
      </c>
      <c r="F703" t="s">
        <v>44</v>
      </c>
      <c r="G703" s="2">
        <v>1.1341463414634101</v>
      </c>
      <c r="H703" s="2">
        <v>3390.8649458458499</v>
      </c>
    </row>
    <row r="704" spans="1:8" x14ac:dyDescent="0.3">
      <c r="A704" t="s">
        <v>771</v>
      </c>
      <c r="B704" t="s">
        <v>29</v>
      </c>
      <c r="C704">
        <v>52</v>
      </c>
      <c r="D704" t="s">
        <v>17</v>
      </c>
      <c r="E704" t="str">
        <f ca="1">IF(Table1[[#This Row],[is_smoker]]=0,"non-smoker","smoker")</f>
        <v>non-smoker</v>
      </c>
      <c r="F704" t="s">
        <v>48</v>
      </c>
      <c r="G704" s="2">
        <v>0.46341463414634099</v>
      </c>
      <c r="H704" s="2">
        <v>1159.41669230203</v>
      </c>
    </row>
    <row r="705" spans="1:8" x14ac:dyDescent="0.3">
      <c r="A705" t="s">
        <v>772</v>
      </c>
      <c r="B705" t="s">
        <v>60</v>
      </c>
      <c r="C705">
        <v>57</v>
      </c>
      <c r="D705" t="s">
        <v>17</v>
      </c>
      <c r="E705" t="str">
        <f ca="1">IF(Table1[[#This Row],[is_smoker]]=0,"non-smoker","smoker")</f>
        <v>non-smoker</v>
      </c>
      <c r="F705" t="s">
        <v>44</v>
      </c>
      <c r="G705" s="2">
        <v>1.1341463414634101</v>
      </c>
      <c r="H705" s="2">
        <v>2738.19631846638</v>
      </c>
    </row>
    <row r="706" spans="1:8" x14ac:dyDescent="0.3">
      <c r="A706" t="s">
        <v>773</v>
      </c>
      <c r="B706" t="s">
        <v>29</v>
      </c>
      <c r="C706">
        <v>34</v>
      </c>
      <c r="D706" t="s">
        <v>10</v>
      </c>
      <c r="E706" t="str">
        <f ca="1">IF(Table1[[#This Row],[is_smoker]]=0,"non-smoker","smoker")</f>
        <v>non-smoker</v>
      </c>
      <c r="F706" t="s">
        <v>48</v>
      </c>
      <c r="G706" s="2">
        <v>0.46341463414634099</v>
      </c>
      <c r="H706" s="2">
        <v>457.882110856022</v>
      </c>
    </row>
    <row r="707" spans="1:8" x14ac:dyDescent="0.3">
      <c r="A707" t="s">
        <v>774</v>
      </c>
      <c r="B707" t="s">
        <v>113</v>
      </c>
      <c r="C707">
        <v>34</v>
      </c>
      <c r="D707" t="s">
        <v>17</v>
      </c>
      <c r="E707" t="str">
        <f ca="1">IF(Table1[[#This Row],[is_smoker]]=0,"non-smoker","smoker")</f>
        <v>non-smoker</v>
      </c>
      <c r="F707" t="s">
        <v>48</v>
      </c>
      <c r="G707" s="2">
        <v>0.46341463414634099</v>
      </c>
      <c r="H707" s="2">
        <v>1318.09616049949</v>
      </c>
    </row>
    <row r="708" spans="1:8" x14ac:dyDescent="0.3">
      <c r="A708" t="s">
        <v>775</v>
      </c>
      <c r="B708" t="s">
        <v>60</v>
      </c>
      <c r="C708">
        <v>22</v>
      </c>
      <c r="D708" t="s">
        <v>17</v>
      </c>
      <c r="E708" t="str">
        <f ca="1">IF(Table1[[#This Row],[is_smoker]]=0,"non-smoker","smoker")</f>
        <v>non-smoker</v>
      </c>
      <c r="F708" t="s">
        <v>48</v>
      </c>
      <c r="G708" s="2">
        <v>0.46341463414634099</v>
      </c>
      <c r="H708" s="2">
        <v>1435.7719324366799</v>
      </c>
    </row>
    <row r="709" spans="1:8" x14ac:dyDescent="0.3">
      <c r="A709" t="s">
        <v>776</v>
      </c>
      <c r="B709" t="s">
        <v>128</v>
      </c>
      <c r="C709">
        <v>31</v>
      </c>
      <c r="D709" t="s">
        <v>10</v>
      </c>
      <c r="E709" t="str">
        <f ca="1">IF(Table1[[#This Row],[is_smoker]]=0,"non-smoker","smoker")</f>
        <v>non-smoker</v>
      </c>
      <c r="F709" t="s">
        <v>27</v>
      </c>
      <c r="G709" s="2">
        <v>0.53252032520325199</v>
      </c>
      <c r="H709" s="2">
        <v>537.53248041269501</v>
      </c>
    </row>
    <row r="710" spans="1:8" x14ac:dyDescent="0.3">
      <c r="A710" t="s">
        <v>777</v>
      </c>
      <c r="B710" t="s">
        <v>16</v>
      </c>
      <c r="C710">
        <v>23</v>
      </c>
      <c r="D710" t="s">
        <v>10</v>
      </c>
      <c r="E710" t="str">
        <f ca="1">IF(Table1[[#This Row],[is_smoker]]=0,"non-smoker","smoker")</f>
        <v>non-smoker</v>
      </c>
      <c r="F710" t="s">
        <v>48</v>
      </c>
      <c r="G710" s="2">
        <v>0.46341463414634099</v>
      </c>
      <c r="H710" s="2">
        <v>495.218860801782</v>
      </c>
    </row>
    <row r="711" spans="1:8" x14ac:dyDescent="0.3">
      <c r="A711" t="s">
        <v>778</v>
      </c>
      <c r="B711" t="s">
        <v>92</v>
      </c>
      <c r="C711">
        <v>34</v>
      </c>
      <c r="D711" t="s">
        <v>17</v>
      </c>
      <c r="E711" t="str">
        <f ca="1">IF(Table1[[#This Row],[is_smoker]]=0,"non-smoker","smoker")</f>
        <v>non-smoker</v>
      </c>
      <c r="F711" t="s">
        <v>14</v>
      </c>
      <c r="G711" s="2">
        <v>0.66666666666666596</v>
      </c>
      <c r="H711" s="2">
        <v>1896.20851159576</v>
      </c>
    </row>
    <row r="712" spans="1:8" x14ac:dyDescent="0.3">
      <c r="A712" t="s">
        <v>779</v>
      </c>
      <c r="B712" t="s">
        <v>13</v>
      </c>
      <c r="C712">
        <v>48</v>
      </c>
      <c r="D712" t="s">
        <v>10</v>
      </c>
      <c r="E712" t="str">
        <f ca="1">IF(Table1[[#This Row],[is_smoker]]=0,"non-smoker","smoker")</f>
        <v>non-smoker</v>
      </c>
      <c r="F712" t="s">
        <v>61</v>
      </c>
      <c r="G712" s="2">
        <v>1.61788617886178</v>
      </c>
      <c r="H712" s="2">
        <v>1446.78436045437</v>
      </c>
    </row>
    <row r="713" spans="1:8" x14ac:dyDescent="0.3">
      <c r="A713" t="s">
        <v>780</v>
      </c>
      <c r="B713" t="s">
        <v>13</v>
      </c>
      <c r="C713">
        <v>63</v>
      </c>
      <c r="D713" t="s">
        <v>17</v>
      </c>
      <c r="E713" t="str">
        <f ca="1">IF(Table1[[#This Row],[is_smoker]]=0,"non-smoker","smoker")</f>
        <v>non-smoker</v>
      </c>
      <c r="F713" t="s">
        <v>44</v>
      </c>
      <c r="G713" s="2">
        <v>1.1341463414634101</v>
      </c>
      <c r="H713" s="2">
        <v>2623.58657609383</v>
      </c>
    </row>
    <row r="714" spans="1:8" x14ac:dyDescent="0.3">
      <c r="A714" t="s">
        <v>781</v>
      </c>
      <c r="B714" t="s">
        <v>21</v>
      </c>
      <c r="C714">
        <v>19</v>
      </c>
      <c r="D714" t="s">
        <v>10</v>
      </c>
      <c r="E714" t="str">
        <f ca="1">IF(Table1[[#This Row],[is_smoker]]=0,"non-smoker","smoker")</f>
        <v>non-smoker</v>
      </c>
      <c r="F714" t="s">
        <v>56</v>
      </c>
      <c r="G714" s="2">
        <v>0.19512195121951201</v>
      </c>
      <c r="H714" s="2">
        <v>214.542342178415</v>
      </c>
    </row>
    <row r="715" spans="1:8" x14ac:dyDescent="0.3">
      <c r="A715" t="s">
        <v>782</v>
      </c>
      <c r="B715" t="s">
        <v>29</v>
      </c>
      <c r="C715">
        <v>52</v>
      </c>
      <c r="D715" t="s">
        <v>10</v>
      </c>
      <c r="E715" t="str">
        <f ca="1">IF(Table1[[#This Row],[is_smoker]]=0,"non-smoker","smoker")</f>
        <v>non-smoker</v>
      </c>
      <c r="F715" t="s">
        <v>2004</v>
      </c>
      <c r="G715" s="2">
        <v>1.2073170731707299</v>
      </c>
      <c r="H715" s="2">
        <v>1049.2953009339001</v>
      </c>
    </row>
    <row r="716" spans="1:8" x14ac:dyDescent="0.3">
      <c r="A716" t="s">
        <v>783</v>
      </c>
      <c r="B716" t="s">
        <v>13</v>
      </c>
      <c r="C716">
        <v>54</v>
      </c>
      <c r="D716" t="s">
        <v>10</v>
      </c>
      <c r="E716" t="str">
        <f ca="1">IF(Table1[[#This Row],[is_smoker]]=0,"non-smoker","smoker")</f>
        <v>non-smoker</v>
      </c>
      <c r="F716" t="s">
        <v>11</v>
      </c>
      <c r="G716" s="2">
        <v>1.1544715447154399</v>
      </c>
      <c r="H716" s="2">
        <v>989.167619679327</v>
      </c>
    </row>
    <row r="717" spans="1:8" x14ac:dyDescent="0.3">
      <c r="A717" t="s">
        <v>784</v>
      </c>
      <c r="B717" t="s">
        <v>16</v>
      </c>
      <c r="C717">
        <v>48</v>
      </c>
      <c r="D717" t="s">
        <v>17</v>
      </c>
      <c r="E717" t="str">
        <f ca="1">IF(Table1[[#This Row],[is_smoker]]=0,"non-smoker","smoker")</f>
        <v>non-smoker</v>
      </c>
      <c r="F717" t="s">
        <v>24</v>
      </c>
      <c r="G717" s="2">
        <v>1.70325203252032</v>
      </c>
      <c r="H717" s="2">
        <v>4384.5817821827104</v>
      </c>
    </row>
    <row r="718" spans="1:8" x14ac:dyDescent="0.3">
      <c r="A718" t="s">
        <v>785</v>
      </c>
      <c r="B718" t="s">
        <v>88</v>
      </c>
      <c r="C718">
        <v>51</v>
      </c>
      <c r="D718" t="s">
        <v>17</v>
      </c>
      <c r="E718" t="str">
        <f ca="1">IF(Table1[[#This Row],[is_smoker]]=0,"non-smoker","smoker")</f>
        <v>non-smoker</v>
      </c>
      <c r="F718" t="s">
        <v>27</v>
      </c>
      <c r="G718" s="2">
        <v>0.53252032520325199</v>
      </c>
      <c r="H718" s="2">
        <v>1341.8403791568701</v>
      </c>
    </row>
    <row r="719" spans="1:8" x14ac:dyDescent="0.3">
      <c r="A719" t="s">
        <v>786</v>
      </c>
      <c r="B719" t="s">
        <v>21</v>
      </c>
      <c r="C719">
        <v>50</v>
      </c>
      <c r="D719" t="s">
        <v>17</v>
      </c>
      <c r="E719" t="str">
        <f ca="1">IF(Table1[[#This Row],[is_smoker]]=0,"non-smoker","smoker")</f>
        <v>non-smoker</v>
      </c>
      <c r="F719" t="s">
        <v>56</v>
      </c>
      <c r="G719" s="2">
        <v>0.19512195121951201</v>
      </c>
      <c r="H719" s="2">
        <v>495.18292642622498</v>
      </c>
    </row>
    <row r="720" spans="1:8" x14ac:dyDescent="0.3">
      <c r="A720" t="s">
        <v>787</v>
      </c>
      <c r="B720" t="s">
        <v>31</v>
      </c>
      <c r="C720">
        <v>38</v>
      </c>
      <c r="D720" t="s">
        <v>17</v>
      </c>
      <c r="E720" t="str">
        <f ca="1">IF(Table1[[#This Row],[is_smoker]]=0,"non-smoker","smoker")</f>
        <v>non-smoker</v>
      </c>
      <c r="F720" t="s">
        <v>19</v>
      </c>
      <c r="G720" s="2">
        <v>1.11788617886178</v>
      </c>
      <c r="H720" s="2">
        <v>3090.2632893149998</v>
      </c>
    </row>
    <row r="721" spans="1:8" x14ac:dyDescent="0.3">
      <c r="A721" t="s">
        <v>788</v>
      </c>
      <c r="B721" t="s">
        <v>41</v>
      </c>
      <c r="C721">
        <v>60</v>
      </c>
      <c r="D721" t="s">
        <v>17</v>
      </c>
      <c r="E721" t="str">
        <f ca="1">IF(Table1[[#This Row],[is_smoker]]=0,"non-smoker","smoker")</f>
        <v>non-smoker</v>
      </c>
      <c r="F721" t="s">
        <v>14</v>
      </c>
      <c r="G721" s="2">
        <v>0.66666666666666596</v>
      </c>
      <c r="H721" s="2">
        <v>1575.50445639448</v>
      </c>
    </row>
    <row r="722" spans="1:8" x14ac:dyDescent="0.3">
      <c r="A722" t="s">
        <v>789</v>
      </c>
      <c r="B722" t="s">
        <v>383</v>
      </c>
      <c r="C722">
        <v>30</v>
      </c>
      <c r="D722" t="s">
        <v>17</v>
      </c>
      <c r="E722" t="str">
        <f ca="1">IF(Table1[[#This Row],[is_smoker]]=0,"non-smoker","smoker")</f>
        <v>non-smoker</v>
      </c>
      <c r="F722" t="s">
        <v>24</v>
      </c>
      <c r="G722" s="2">
        <v>1.70325203252032</v>
      </c>
      <c r="H722" s="2">
        <v>4984.6620726291303</v>
      </c>
    </row>
    <row r="723" spans="1:8" x14ac:dyDescent="0.3">
      <c r="A723" t="s">
        <v>790</v>
      </c>
      <c r="B723" t="s">
        <v>29</v>
      </c>
      <c r="C723">
        <v>36</v>
      </c>
      <c r="D723" t="s">
        <v>17</v>
      </c>
      <c r="E723" t="str">
        <f ca="1">IF(Table1[[#This Row],[is_smoker]]=0,"non-smoker","smoker")</f>
        <v>non-smoker</v>
      </c>
      <c r="F723" t="s">
        <v>2004</v>
      </c>
      <c r="G723" s="2">
        <v>1.2073170731707299</v>
      </c>
      <c r="H723" s="2">
        <v>3385.3920155488299</v>
      </c>
    </row>
    <row r="724" spans="1:8" x14ac:dyDescent="0.3">
      <c r="A724" t="s">
        <v>791</v>
      </c>
      <c r="B724" t="s">
        <v>60</v>
      </c>
      <c r="C724">
        <v>61</v>
      </c>
      <c r="D724" t="s">
        <v>17</v>
      </c>
      <c r="E724" t="str">
        <f ca="1">IF(Table1[[#This Row],[is_smoker]]=0,"non-smoker","smoker")</f>
        <v>non-smoker</v>
      </c>
      <c r="F724" t="s">
        <v>56</v>
      </c>
      <c r="G724" s="2">
        <v>0.19512195121951201</v>
      </c>
      <c r="H724" s="2">
        <v>457.84888573267898</v>
      </c>
    </row>
    <row r="725" spans="1:8" x14ac:dyDescent="0.3">
      <c r="A725" t="s">
        <v>792</v>
      </c>
      <c r="B725" t="s">
        <v>21</v>
      </c>
      <c r="C725">
        <v>55</v>
      </c>
      <c r="D725" t="s">
        <v>17</v>
      </c>
      <c r="E725" t="str">
        <f ca="1">IF(Table1[[#This Row],[is_smoker]]=0,"non-smoker","smoker")</f>
        <v>non-smoker</v>
      </c>
      <c r="F725" t="s">
        <v>24</v>
      </c>
      <c r="G725" s="2">
        <v>1.70325203252032</v>
      </c>
      <c r="H725" s="2">
        <v>4171.2299225113402</v>
      </c>
    </row>
    <row r="726" spans="1:8" x14ac:dyDescent="0.3">
      <c r="A726" t="s">
        <v>793</v>
      </c>
      <c r="B726" t="s">
        <v>46</v>
      </c>
      <c r="C726">
        <v>50</v>
      </c>
      <c r="D726" t="s">
        <v>17</v>
      </c>
      <c r="E726" t="str">
        <f ca="1">IF(Table1[[#This Row],[is_smoker]]=0,"non-smoker","smoker")</f>
        <v>non-smoker</v>
      </c>
      <c r="F726" t="s">
        <v>56</v>
      </c>
      <c r="G726" s="2">
        <v>0.19512195121951201</v>
      </c>
      <c r="H726" s="2">
        <v>495.18292642622498</v>
      </c>
    </row>
    <row r="727" spans="1:8" x14ac:dyDescent="0.3">
      <c r="A727" t="s">
        <v>794</v>
      </c>
      <c r="B727" t="s">
        <v>170</v>
      </c>
      <c r="C727">
        <v>65</v>
      </c>
      <c r="D727" t="s">
        <v>10</v>
      </c>
      <c r="E727" t="str">
        <f ca="1">IF(Table1[[#This Row],[is_smoker]]=0,"non-smoker","smoker")</f>
        <v>non-smoker</v>
      </c>
      <c r="F727" t="s">
        <v>14</v>
      </c>
      <c r="G727" s="2">
        <v>0.66666666666666596</v>
      </c>
      <c r="H727" s="2">
        <v>528.14345091533198</v>
      </c>
    </row>
    <row r="728" spans="1:8" x14ac:dyDescent="0.3">
      <c r="A728" t="s">
        <v>795</v>
      </c>
      <c r="B728" t="s">
        <v>13</v>
      </c>
      <c r="C728">
        <v>65</v>
      </c>
      <c r="D728" t="s">
        <v>17</v>
      </c>
      <c r="E728" t="str">
        <f ca="1">IF(Table1[[#This Row],[is_smoker]]=0,"non-smoker","smoker")</f>
        <v>non-smoker</v>
      </c>
      <c r="F728" t="s">
        <v>2004</v>
      </c>
      <c r="G728" s="2">
        <v>1.2073170731707299</v>
      </c>
      <c r="H728" s="2">
        <v>2753.3277935842002</v>
      </c>
    </row>
    <row r="729" spans="1:8" x14ac:dyDescent="0.3">
      <c r="A729" t="s">
        <v>796</v>
      </c>
      <c r="B729" t="s">
        <v>23</v>
      </c>
      <c r="C729">
        <v>45</v>
      </c>
      <c r="D729" t="s">
        <v>10</v>
      </c>
      <c r="E729" t="str">
        <f ca="1">IF(Table1[[#This Row],[is_smoker]]=0,"non-smoker","smoker")</f>
        <v>non-smoker</v>
      </c>
      <c r="F729" t="s">
        <v>19</v>
      </c>
      <c r="G729" s="2">
        <v>1.11788617886178</v>
      </c>
      <c r="H729" s="2">
        <v>1021.26398858459</v>
      </c>
    </row>
    <row r="730" spans="1:8" x14ac:dyDescent="0.3">
      <c r="A730" t="s">
        <v>797</v>
      </c>
      <c r="B730" t="s">
        <v>23</v>
      </c>
      <c r="C730">
        <v>29</v>
      </c>
      <c r="D730" t="s">
        <v>10</v>
      </c>
      <c r="E730" t="str">
        <f ca="1">IF(Table1[[#This Row],[is_smoker]]=0,"non-smoker","smoker")</f>
        <v>non-smoker</v>
      </c>
      <c r="F730" t="s">
        <v>48</v>
      </c>
      <c r="G730" s="2">
        <v>0.46341463414634099</v>
      </c>
      <c r="H730" s="2">
        <v>474.49101682954603</v>
      </c>
    </row>
    <row r="731" spans="1:8" x14ac:dyDescent="0.3">
      <c r="A731" t="s">
        <v>798</v>
      </c>
      <c r="B731" t="s">
        <v>60</v>
      </c>
      <c r="C731">
        <v>38</v>
      </c>
      <c r="D731" t="s">
        <v>10</v>
      </c>
      <c r="E731" t="str">
        <f ca="1">IF(Table1[[#This Row],[is_smoker]]=0,"non-smoker","smoker")</f>
        <v>non-smoker</v>
      </c>
      <c r="F731" t="s">
        <v>44</v>
      </c>
      <c r="G731" s="2">
        <v>1.1341463414634101</v>
      </c>
      <c r="H731" s="2">
        <v>1089.1145837213801</v>
      </c>
    </row>
    <row r="732" spans="1:8" x14ac:dyDescent="0.3">
      <c r="A732" t="s">
        <v>799</v>
      </c>
      <c r="B732" t="s">
        <v>35</v>
      </c>
      <c r="C732">
        <v>53</v>
      </c>
      <c r="D732" t="s">
        <v>10</v>
      </c>
      <c r="E732" t="str">
        <f ca="1">IF(Table1[[#This Row],[is_smoker]]=0,"non-smoker","smoker")</f>
        <v>non-smoker</v>
      </c>
      <c r="F732" t="s">
        <v>19</v>
      </c>
      <c r="G732" s="2">
        <v>1.11788617886178</v>
      </c>
      <c r="H732" s="2">
        <v>964.67074647016295</v>
      </c>
    </row>
    <row r="733" spans="1:8" x14ac:dyDescent="0.3">
      <c r="A733" t="s">
        <v>800</v>
      </c>
      <c r="B733" t="s">
        <v>13</v>
      </c>
      <c r="C733">
        <v>24</v>
      </c>
      <c r="D733" t="s">
        <v>10</v>
      </c>
      <c r="E733" t="str">
        <f ca="1">IF(Table1[[#This Row],[is_smoker]]=0,"non-smoker","smoker")</f>
        <v>non-smoker</v>
      </c>
      <c r="F733" t="s">
        <v>48</v>
      </c>
      <c r="G733" s="2">
        <v>0.46341463414634099</v>
      </c>
      <c r="H733" s="2">
        <v>491.70238302393699</v>
      </c>
    </row>
    <row r="734" spans="1:8" x14ac:dyDescent="0.3">
      <c r="A734" t="s">
        <v>801</v>
      </c>
      <c r="B734" t="s">
        <v>29</v>
      </c>
      <c r="C734">
        <v>39</v>
      </c>
      <c r="D734" t="s">
        <v>10</v>
      </c>
      <c r="E734" t="str">
        <f ca="1">IF(Table1[[#This Row],[is_smoker]]=0,"non-smoker","smoker")</f>
        <v>non-smoker</v>
      </c>
      <c r="F734" t="s">
        <v>27</v>
      </c>
      <c r="G734" s="2">
        <v>0.53252032520325199</v>
      </c>
      <c r="H734" s="2">
        <v>507.74517159891201</v>
      </c>
    </row>
    <row r="735" spans="1:8" x14ac:dyDescent="0.3">
      <c r="A735" t="s">
        <v>802</v>
      </c>
      <c r="B735" t="s">
        <v>13</v>
      </c>
      <c r="C735">
        <v>30</v>
      </c>
      <c r="D735" t="s">
        <v>17</v>
      </c>
      <c r="E735" t="str">
        <f ca="1">IF(Table1[[#This Row],[is_smoker]]=0,"non-smoker","smoker")</f>
        <v>non-smoker</v>
      </c>
      <c r="F735" t="s">
        <v>61</v>
      </c>
      <c r="G735" s="2">
        <v>1.61788617886178</v>
      </c>
      <c r="H735" s="2">
        <v>4734.8341405880501</v>
      </c>
    </row>
    <row r="736" spans="1:8" x14ac:dyDescent="0.3">
      <c r="A736" t="s">
        <v>803</v>
      </c>
      <c r="B736" t="s">
        <v>60</v>
      </c>
      <c r="C736">
        <v>43</v>
      </c>
      <c r="D736" t="s">
        <v>10</v>
      </c>
      <c r="E736" t="str">
        <f ca="1">IF(Table1[[#This Row],[is_smoker]]=0,"non-smoker","smoker")</f>
        <v>non-smoker</v>
      </c>
      <c r="F736" t="s">
        <v>11</v>
      </c>
      <c r="G736" s="2">
        <v>1.1544715447154399</v>
      </c>
      <c r="H736" s="2">
        <v>1069.82659978528</v>
      </c>
    </row>
    <row r="737" spans="1:8" x14ac:dyDescent="0.3">
      <c r="A737" t="s">
        <v>804</v>
      </c>
      <c r="B737" t="s">
        <v>16</v>
      </c>
      <c r="C737">
        <v>28</v>
      </c>
      <c r="D737" t="s">
        <v>10</v>
      </c>
      <c r="E737" t="str">
        <f ca="1">IF(Table1[[#This Row],[is_smoker]]=0,"non-smoker","smoker")</f>
        <v>non-smoker</v>
      </c>
      <c r="F737" t="s">
        <v>11</v>
      </c>
      <c r="G737" s="2">
        <v>1.1544715447154399</v>
      </c>
      <c r="H737" s="2">
        <v>1190.5190443721599</v>
      </c>
    </row>
    <row r="738" spans="1:8" x14ac:dyDescent="0.3">
      <c r="A738" t="s">
        <v>805</v>
      </c>
      <c r="B738" t="s">
        <v>43</v>
      </c>
      <c r="C738">
        <v>59</v>
      </c>
      <c r="D738" t="s">
        <v>10</v>
      </c>
      <c r="E738" t="str">
        <f ca="1">IF(Table1[[#This Row],[is_smoker]]=0,"non-smoker","smoker")</f>
        <v>non-smoker</v>
      </c>
      <c r="F738" t="s">
        <v>44</v>
      </c>
      <c r="G738" s="2">
        <v>1.1341463414634101</v>
      </c>
      <c r="H738" s="2">
        <v>937.737829080084</v>
      </c>
    </row>
    <row r="739" spans="1:8" x14ac:dyDescent="0.3">
      <c r="A739" t="s">
        <v>806</v>
      </c>
      <c r="B739" t="s">
        <v>60</v>
      </c>
      <c r="C739">
        <v>52</v>
      </c>
      <c r="D739" t="s">
        <v>17</v>
      </c>
      <c r="E739" t="str">
        <f ca="1">IF(Table1[[#This Row],[is_smoker]]=0,"non-smoker","smoker")</f>
        <v>non-smoker</v>
      </c>
      <c r="F739" t="s">
        <v>2004</v>
      </c>
      <c r="G739" s="2">
        <v>1.2073170731707299</v>
      </c>
      <c r="H739" s="2">
        <v>3020.5855931026499</v>
      </c>
    </row>
    <row r="740" spans="1:8" x14ac:dyDescent="0.3">
      <c r="A740" t="s">
        <v>807</v>
      </c>
      <c r="B740" t="s">
        <v>39</v>
      </c>
      <c r="C740">
        <v>48</v>
      </c>
      <c r="D740" t="s">
        <v>17</v>
      </c>
      <c r="E740" t="str">
        <f ca="1">IF(Table1[[#This Row],[is_smoker]]=0,"non-smoker","smoker")</f>
        <v>non-smoker</v>
      </c>
      <c r="F740" t="s">
        <v>14</v>
      </c>
      <c r="G740" s="2">
        <v>0.66666666666666596</v>
      </c>
      <c r="H740" s="2">
        <v>1716.1608884915599</v>
      </c>
    </row>
    <row r="741" spans="1:8" x14ac:dyDescent="0.3">
      <c r="A741" t="s">
        <v>808</v>
      </c>
      <c r="B741" t="s">
        <v>43</v>
      </c>
      <c r="C741">
        <v>43</v>
      </c>
      <c r="D741" t="s">
        <v>17</v>
      </c>
      <c r="E741" t="str">
        <f ca="1">IF(Table1[[#This Row],[is_smoker]]=0,"non-smoker","smoker")</f>
        <v>non-smoker</v>
      </c>
      <c r="F741" t="s">
        <v>2004</v>
      </c>
      <c r="G741" s="2">
        <v>1.2073170731707299</v>
      </c>
      <c r="H741" s="2">
        <v>3220.66029924945</v>
      </c>
    </row>
    <row r="742" spans="1:8" x14ac:dyDescent="0.3">
      <c r="A742" t="s">
        <v>809</v>
      </c>
      <c r="B742" t="s">
        <v>113</v>
      </c>
      <c r="C742">
        <v>57</v>
      </c>
      <c r="D742" t="s">
        <v>17</v>
      </c>
      <c r="E742" t="str">
        <f ca="1">IF(Table1[[#This Row],[is_smoker]]=0,"non-smoker","smoker")</f>
        <v>non-smoker</v>
      </c>
      <c r="F742" t="s">
        <v>14</v>
      </c>
      <c r="G742" s="2">
        <v>0.66666666666666596</v>
      </c>
      <c r="H742" s="2">
        <v>1609.5490904246799</v>
      </c>
    </row>
    <row r="743" spans="1:8" x14ac:dyDescent="0.3">
      <c r="A743" t="s">
        <v>810</v>
      </c>
      <c r="B743" t="s">
        <v>92</v>
      </c>
      <c r="C743">
        <v>61</v>
      </c>
      <c r="D743" t="s">
        <v>17</v>
      </c>
      <c r="E743" t="str">
        <f ca="1">IF(Table1[[#This Row],[is_smoker]]=0,"non-smoker","smoker")</f>
        <v>non-smoker</v>
      </c>
      <c r="F743" t="s">
        <v>2004</v>
      </c>
      <c r="G743" s="2">
        <v>1.2073170731707299</v>
      </c>
      <c r="H743" s="2">
        <v>2832.9399804709501</v>
      </c>
    </row>
    <row r="744" spans="1:8" x14ac:dyDescent="0.3">
      <c r="A744" t="s">
        <v>811</v>
      </c>
      <c r="B744" t="s">
        <v>46</v>
      </c>
      <c r="C744">
        <v>57</v>
      </c>
      <c r="D744" t="s">
        <v>17</v>
      </c>
      <c r="E744" t="str">
        <f ca="1">IF(Table1[[#This Row],[is_smoker]]=0,"non-smoker","smoker")</f>
        <v>non-smoker</v>
      </c>
      <c r="F744" t="s">
        <v>61</v>
      </c>
      <c r="G744" s="2">
        <v>1.61788617886178</v>
      </c>
      <c r="H744" s="2">
        <v>3906.1008413964901</v>
      </c>
    </row>
    <row r="745" spans="1:8" x14ac:dyDescent="0.3">
      <c r="A745" t="s">
        <v>812</v>
      </c>
      <c r="B745" t="s">
        <v>43</v>
      </c>
      <c r="C745">
        <v>29</v>
      </c>
      <c r="D745" t="s">
        <v>10</v>
      </c>
      <c r="E745" t="str">
        <f ca="1">IF(Table1[[#This Row],[is_smoker]]=0,"non-smoker","smoker")</f>
        <v>non-smoker</v>
      </c>
      <c r="F745" t="s">
        <v>27</v>
      </c>
      <c r="G745" s="2">
        <v>0.53252032520325199</v>
      </c>
      <c r="H745" s="2">
        <v>545.24844916377697</v>
      </c>
    </row>
    <row r="746" spans="1:8" x14ac:dyDescent="0.3">
      <c r="A746" t="s">
        <v>813</v>
      </c>
      <c r="B746" t="s">
        <v>13</v>
      </c>
      <c r="C746">
        <v>51</v>
      </c>
      <c r="D746" t="s">
        <v>17</v>
      </c>
      <c r="E746" t="str">
        <f ca="1">IF(Table1[[#This Row],[is_smoker]]=0,"non-smoker","smoker")</f>
        <v>non-smoker</v>
      </c>
      <c r="F746" t="s">
        <v>27</v>
      </c>
      <c r="G746" s="2">
        <v>0.53252032520325199</v>
      </c>
      <c r="H746" s="2">
        <v>1341.8403791568701</v>
      </c>
    </row>
    <row r="747" spans="1:8" x14ac:dyDescent="0.3">
      <c r="A747" t="s">
        <v>814</v>
      </c>
      <c r="B747" t="s">
        <v>82</v>
      </c>
      <c r="C747">
        <v>23</v>
      </c>
      <c r="D747" t="s">
        <v>17</v>
      </c>
      <c r="E747" t="str">
        <f ca="1">IF(Table1[[#This Row],[is_smoker]]=0,"non-smoker","smoker")</f>
        <v>non-smoker</v>
      </c>
      <c r="F747" t="s">
        <v>48</v>
      </c>
      <c r="G747" s="2">
        <v>0.46341463414634099</v>
      </c>
      <c r="H747" s="2">
        <v>1425.5767228150301</v>
      </c>
    </row>
    <row r="748" spans="1:8" x14ac:dyDescent="0.3">
      <c r="A748" t="s">
        <v>815</v>
      </c>
      <c r="B748" t="s">
        <v>23</v>
      </c>
      <c r="C748">
        <v>29</v>
      </c>
      <c r="D748" t="s">
        <v>10</v>
      </c>
      <c r="E748" t="str">
        <f ca="1">IF(Table1[[#This Row],[is_smoker]]=0,"non-smoker","smoker")</f>
        <v>non-smoker</v>
      </c>
      <c r="F748" t="s">
        <v>24</v>
      </c>
      <c r="G748" s="2">
        <v>1.70325203252032</v>
      </c>
      <c r="H748" s="2">
        <v>1743.96259694368</v>
      </c>
    </row>
    <row r="749" spans="1:8" x14ac:dyDescent="0.3">
      <c r="A749" s="1" t="s">
        <v>816</v>
      </c>
      <c r="B749" t="s">
        <v>29</v>
      </c>
      <c r="C749">
        <v>30</v>
      </c>
      <c r="D749" t="s">
        <v>10</v>
      </c>
      <c r="E749" t="str">
        <f ca="1">IF(Table1[[#This Row],[is_smoker]]=0,"non-smoker","smoker")</f>
        <v>non-smoker</v>
      </c>
      <c r="F749" t="s">
        <v>27</v>
      </c>
      <c r="G749" s="2">
        <v>0.53252032520325199</v>
      </c>
      <c r="H749" s="2">
        <v>541.37671848739603</v>
      </c>
    </row>
    <row r="750" spans="1:8" x14ac:dyDescent="0.3">
      <c r="A750" t="s">
        <v>817</v>
      </c>
      <c r="B750" t="s">
        <v>46</v>
      </c>
      <c r="C750">
        <v>36</v>
      </c>
      <c r="D750" t="s">
        <v>17</v>
      </c>
      <c r="E750" t="str">
        <f ca="1">IF(Table1[[#This Row],[is_smoker]]=0,"non-smoker","smoker")</f>
        <v>non-smoker</v>
      </c>
      <c r="F750" t="s">
        <v>27</v>
      </c>
      <c r="G750" s="2">
        <v>0.53252032520325199</v>
      </c>
      <c r="H750" s="2">
        <v>1493.2200472622701</v>
      </c>
    </row>
    <row r="751" spans="1:8" x14ac:dyDescent="0.3">
      <c r="A751" t="s">
        <v>818</v>
      </c>
      <c r="B751" t="s">
        <v>46</v>
      </c>
      <c r="C751">
        <v>33</v>
      </c>
      <c r="D751" t="s">
        <v>17</v>
      </c>
      <c r="E751" t="str">
        <f ca="1">IF(Table1[[#This Row],[is_smoker]]=0,"non-smoker","smoker")</f>
        <v>non-smoker</v>
      </c>
      <c r="F751" t="s">
        <v>19</v>
      </c>
      <c r="G751" s="2">
        <v>1.11788617886178</v>
      </c>
      <c r="H751" s="2">
        <v>3202.3574095891199</v>
      </c>
    </row>
    <row r="752" spans="1:8" x14ac:dyDescent="0.3">
      <c r="A752" t="s">
        <v>819</v>
      </c>
      <c r="B752" t="s">
        <v>26</v>
      </c>
      <c r="C752">
        <v>45</v>
      </c>
      <c r="D752" t="s">
        <v>17</v>
      </c>
      <c r="E752" t="str">
        <f ca="1">IF(Table1[[#This Row],[is_smoker]]=0,"non-smoker","smoker")</f>
        <v>non-smoker</v>
      </c>
      <c r="F752" t="s">
        <v>19</v>
      </c>
      <c r="G752" s="2">
        <v>1.11788617886178</v>
      </c>
      <c r="H752" s="2">
        <v>2939.8924096272899</v>
      </c>
    </row>
    <row r="753" spans="1:8" x14ac:dyDescent="0.3">
      <c r="A753" t="s">
        <v>820</v>
      </c>
      <c r="B753" t="s">
        <v>178</v>
      </c>
      <c r="C753">
        <v>47</v>
      </c>
      <c r="D753" t="s">
        <v>10</v>
      </c>
      <c r="E753" t="str">
        <f ca="1">IF(Table1[[#This Row],[is_smoker]]=0,"non-smoker","smoker")</f>
        <v>non-smoker</v>
      </c>
      <c r="F753" t="s">
        <v>48</v>
      </c>
      <c r="G753" s="2">
        <v>0.46341463414634099</v>
      </c>
      <c r="H753" s="2">
        <v>417.36924948712903</v>
      </c>
    </row>
    <row r="754" spans="1:8" x14ac:dyDescent="0.3">
      <c r="A754" t="s">
        <v>821</v>
      </c>
      <c r="B754" t="s">
        <v>192</v>
      </c>
      <c r="C754">
        <v>30</v>
      </c>
      <c r="D754" t="s">
        <v>10</v>
      </c>
      <c r="E754" t="str">
        <f ca="1">IF(Table1[[#This Row],[is_smoker]]=0,"non-smoker","smoker")</f>
        <v>non-smoker</v>
      </c>
      <c r="F754" t="s">
        <v>24</v>
      </c>
      <c r="G754" s="2">
        <v>1.70325203252032</v>
      </c>
      <c r="H754" s="2">
        <v>1731.5789698184601</v>
      </c>
    </row>
    <row r="755" spans="1:8" x14ac:dyDescent="0.3">
      <c r="A755" t="s">
        <v>822</v>
      </c>
      <c r="B755" t="s">
        <v>110</v>
      </c>
      <c r="C755">
        <v>51</v>
      </c>
      <c r="D755" t="s">
        <v>17</v>
      </c>
      <c r="E755" t="str">
        <f ca="1">IF(Table1[[#This Row],[is_smoker]]=0,"non-smoker","smoker")</f>
        <v>non-smoker</v>
      </c>
      <c r="F755" t="s">
        <v>44</v>
      </c>
      <c r="G755" s="2">
        <v>1.1341463414634101</v>
      </c>
      <c r="H755" s="2">
        <v>2857.81271591425</v>
      </c>
    </row>
    <row r="756" spans="1:8" x14ac:dyDescent="0.3">
      <c r="A756" t="s">
        <v>823</v>
      </c>
      <c r="B756" t="s">
        <v>113</v>
      </c>
      <c r="C756">
        <v>64</v>
      </c>
      <c r="D756" t="s">
        <v>10</v>
      </c>
      <c r="E756" t="str">
        <f ca="1">IF(Table1[[#This Row],[is_smoker]]=0,"non-smoker","smoker")</f>
        <v>non-smoker</v>
      </c>
      <c r="F756" t="s">
        <v>19</v>
      </c>
      <c r="G756" s="2">
        <v>1.11788617886178</v>
      </c>
      <c r="H756" s="2">
        <v>891.93993330478497</v>
      </c>
    </row>
    <row r="757" spans="1:8" x14ac:dyDescent="0.3">
      <c r="A757" t="s">
        <v>824</v>
      </c>
      <c r="B757" t="s">
        <v>60</v>
      </c>
      <c r="C757">
        <v>54</v>
      </c>
      <c r="D757" t="s">
        <v>10</v>
      </c>
      <c r="E757" t="str">
        <f ca="1">IF(Table1[[#This Row],[is_smoker]]=0,"non-smoker","smoker")</f>
        <v>non-smoker</v>
      </c>
      <c r="F757" t="s">
        <v>44</v>
      </c>
      <c r="G757" s="2">
        <v>1.1341463414634101</v>
      </c>
      <c r="H757" s="2">
        <v>971.75269679764801</v>
      </c>
    </row>
    <row r="758" spans="1:8" x14ac:dyDescent="0.3">
      <c r="A758" t="s">
        <v>825</v>
      </c>
      <c r="B758" t="s">
        <v>82</v>
      </c>
      <c r="C758">
        <v>29</v>
      </c>
      <c r="D758" t="s">
        <v>17</v>
      </c>
      <c r="E758" t="str">
        <f ca="1">IF(Table1[[#This Row],[is_smoker]]=0,"non-smoker","smoker")</f>
        <v>non-smoker</v>
      </c>
      <c r="F758" t="s">
        <v>56</v>
      </c>
      <c r="G758" s="2">
        <v>0.19512195121951201</v>
      </c>
      <c r="H758" s="2">
        <v>575.11911118025</v>
      </c>
    </row>
    <row r="759" spans="1:8" x14ac:dyDescent="0.3">
      <c r="A759" t="s">
        <v>826</v>
      </c>
      <c r="B759" t="s">
        <v>16</v>
      </c>
      <c r="C759">
        <v>35</v>
      </c>
      <c r="D759" t="s">
        <v>17</v>
      </c>
      <c r="E759" t="str">
        <f ca="1">IF(Table1[[#This Row],[is_smoker]]=0,"non-smoker","smoker")</f>
        <v>non-smoker</v>
      </c>
      <c r="F759" t="s">
        <v>19</v>
      </c>
      <c r="G759" s="2">
        <v>1.11788617886178</v>
      </c>
      <c r="H759" s="2">
        <v>3157.0399222307001</v>
      </c>
    </row>
    <row r="760" spans="1:8" x14ac:dyDescent="0.3">
      <c r="A760" t="s">
        <v>827</v>
      </c>
      <c r="B760" t="s">
        <v>43</v>
      </c>
      <c r="C760">
        <v>25</v>
      </c>
      <c r="D760" t="s">
        <v>10</v>
      </c>
      <c r="E760" t="str">
        <f ca="1">IF(Table1[[#This Row],[is_smoker]]=0,"non-smoker","smoker")</f>
        <v>non-smoker</v>
      </c>
      <c r="F760" t="s">
        <v>61</v>
      </c>
      <c r="G760" s="2">
        <v>1.61788617886178</v>
      </c>
      <c r="H760" s="2">
        <v>1704.45551183118</v>
      </c>
    </row>
    <row r="761" spans="1:8" x14ac:dyDescent="0.3">
      <c r="A761" t="s">
        <v>828</v>
      </c>
      <c r="B761" t="s">
        <v>408</v>
      </c>
      <c r="C761">
        <v>58</v>
      </c>
      <c r="D761" t="s">
        <v>10</v>
      </c>
      <c r="E761" t="str">
        <f ca="1">IF(Table1[[#This Row],[is_smoker]]=0,"non-smoker","smoker")</f>
        <v>non-smoker</v>
      </c>
      <c r="F761" t="s">
        <v>24</v>
      </c>
      <c r="G761" s="2">
        <v>1.70325203252032</v>
      </c>
      <c r="H761" s="2">
        <v>1418.3588391189201</v>
      </c>
    </row>
    <row r="762" spans="1:8" x14ac:dyDescent="0.3">
      <c r="A762" t="s">
        <v>829</v>
      </c>
      <c r="B762" t="s">
        <v>50</v>
      </c>
      <c r="C762">
        <v>56</v>
      </c>
      <c r="D762" t="s">
        <v>17</v>
      </c>
      <c r="E762" t="str">
        <f ca="1">IF(Table1[[#This Row],[is_smoker]]=0,"non-smoker","smoker")</f>
        <v>non-smoker</v>
      </c>
      <c r="F762" t="s">
        <v>48</v>
      </c>
      <c r="G762" s="2">
        <v>0.46341463414634099</v>
      </c>
      <c r="H762" s="2">
        <v>1126.8343929863099</v>
      </c>
    </row>
    <row r="763" spans="1:8" x14ac:dyDescent="0.3">
      <c r="A763" t="s">
        <v>830</v>
      </c>
      <c r="B763" t="s">
        <v>60</v>
      </c>
      <c r="C763">
        <v>44</v>
      </c>
      <c r="D763" t="s">
        <v>17</v>
      </c>
      <c r="E763" t="str">
        <f ca="1">IF(Table1[[#This Row],[is_smoker]]=0,"non-smoker","smoker")</f>
        <v>non-smoker</v>
      </c>
      <c r="F763" t="s">
        <v>56</v>
      </c>
      <c r="G763" s="2">
        <v>0.19512195121951201</v>
      </c>
      <c r="H763" s="2">
        <v>516.814683556761</v>
      </c>
    </row>
    <row r="764" spans="1:8" x14ac:dyDescent="0.3">
      <c r="A764" t="s">
        <v>831</v>
      </c>
      <c r="B764" t="s">
        <v>178</v>
      </c>
      <c r="C764">
        <v>54</v>
      </c>
      <c r="D764" t="s">
        <v>17</v>
      </c>
      <c r="E764" t="str">
        <f ca="1">IF(Table1[[#This Row],[is_smoker]]=0,"non-smoker","smoker")</f>
        <v>non-smoker</v>
      </c>
      <c r="F764" t="s">
        <v>24</v>
      </c>
      <c r="G764" s="2">
        <v>1.70325203252032</v>
      </c>
      <c r="H764" s="2">
        <v>4201.0610517374898</v>
      </c>
    </row>
    <row r="765" spans="1:8" x14ac:dyDescent="0.3">
      <c r="A765" t="s">
        <v>832</v>
      </c>
      <c r="B765" t="s">
        <v>46</v>
      </c>
      <c r="C765">
        <v>49</v>
      </c>
      <c r="D765" t="s">
        <v>17</v>
      </c>
      <c r="E765" t="str">
        <f ca="1">IF(Table1[[#This Row],[is_smoker]]=0,"non-smoker","smoker")</f>
        <v>non-smoker</v>
      </c>
      <c r="F765" t="s">
        <v>61</v>
      </c>
      <c r="G765" s="2">
        <v>1.61788617886178</v>
      </c>
      <c r="H765" s="2">
        <v>4135.2556192825296</v>
      </c>
    </row>
    <row r="766" spans="1:8" x14ac:dyDescent="0.3">
      <c r="A766" t="s">
        <v>833</v>
      </c>
      <c r="B766" t="s">
        <v>60</v>
      </c>
      <c r="C766">
        <v>37</v>
      </c>
      <c r="D766" t="s">
        <v>10</v>
      </c>
      <c r="E766" t="str">
        <f ca="1">IF(Table1[[#This Row],[is_smoker]]=0,"non-smoker","smoker")</f>
        <v>non-smoker</v>
      </c>
      <c r="F766" t="s">
        <v>24</v>
      </c>
      <c r="G766" s="2">
        <v>1.70325203252032</v>
      </c>
      <c r="H766" s="2">
        <v>1647.3210834951101</v>
      </c>
    </row>
    <row r="767" spans="1:8" x14ac:dyDescent="0.3">
      <c r="A767" t="s">
        <v>834</v>
      </c>
      <c r="B767" t="s">
        <v>113</v>
      </c>
      <c r="C767">
        <v>21</v>
      </c>
      <c r="D767" t="s">
        <v>17</v>
      </c>
      <c r="E767" t="str">
        <f ca="1">IF(Table1[[#This Row],[is_smoker]]=0,"non-smoker","smoker")</f>
        <v>smoker</v>
      </c>
      <c r="F767" t="s">
        <v>61</v>
      </c>
      <c r="G767" s="2">
        <v>1.61788617886178</v>
      </c>
      <c r="H767" s="2">
        <v>5421.5835590627203</v>
      </c>
    </row>
    <row r="768" spans="1:8" x14ac:dyDescent="0.3">
      <c r="A768" t="s">
        <v>835</v>
      </c>
      <c r="B768" t="s">
        <v>35</v>
      </c>
      <c r="C768">
        <v>46</v>
      </c>
      <c r="D768" t="s">
        <v>10</v>
      </c>
      <c r="E768" t="str">
        <f ca="1">IF(Table1[[#This Row],[is_smoker]]=0,"non-smoker","smoker")</f>
        <v>non-smoker</v>
      </c>
      <c r="F768" t="s">
        <v>61</v>
      </c>
      <c r="G768" s="2">
        <v>1.61788617886178</v>
      </c>
      <c r="H768" s="2">
        <v>1467.55211556054</v>
      </c>
    </row>
    <row r="769" spans="1:8" x14ac:dyDescent="0.3">
      <c r="A769" t="s">
        <v>836</v>
      </c>
      <c r="B769" t="s">
        <v>13</v>
      </c>
      <c r="C769">
        <v>25</v>
      </c>
      <c r="D769" t="s">
        <v>17</v>
      </c>
      <c r="E769" t="str">
        <f ca="1">IF(Table1[[#This Row],[is_smoker]]=0,"non-smoker","smoker")</f>
        <v>non-smoker</v>
      </c>
      <c r="F769" t="s">
        <v>44</v>
      </c>
      <c r="G769" s="2">
        <v>1.1341463414634101</v>
      </c>
      <c r="H769" s="2">
        <v>3439.53885656693</v>
      </c>
    </row>
    <row r="770" spans="1:8" x14ac:dyDescent="0.3">
      <c r="A770" t="s">
        <v>837</v>
      </c>
      <c r="B770" t="s">
        <v>229</v>
      </c>
      <c r="C770">
        <v>46</v>
      </c>
      <c r="D770" t="s">
        <v>10</v>
      </c>
      <c r="E770" t="str">
        <f ca="1">IF(Table1[[#This Row],[is_smoker]]=0,"non-smoker","smoker")</f>
        <v>non-smoker</v>
      </c>
      <c r="F770" t="s">
        <v>2004</v>
      </c>
      <c r="G770" s="2">
        <v>1.2073170731707299</v>
      </c>
      <c r="H770" s="2">
        <v>1095.1331113604999</v>
      </c>
    </row>
    <row r="771" spans="1:8" x14ac:dyDescent="0.3">
      <c r="A771" t="s">
        <v>838</v>
      </c>
      <c r="B771" t="s">
        <v>113</v>
      </c>
      <c r="C771">
        <v>23</v>
      </c>
      <c r="D771" t="s">
        <v>17</v>
      </c>
      <c r="E771" t="str">
        <f ca="1">IF(Table1[[#This Row],[is_smoker]]=0,"non-smoker","smoker")</f>
        <v>non-smoker</v>
      </c>
      <c r="F771" t="s">
        <v>56</v>
      </c>
      <c r="G771" s="2">
        <v>0.19512195121951201</v>
      </c>
      <c r="H771" s="2">
        <v>600.24283065896304</v>
      </c>
    </row>
    <row r="772" spans="1:8" x14ac:dyDescent="0.3">
      <c r="A772" t="s">
        <v>839</v>
      </c>
      <c r="B772" t="s">
        <v>29</v>
      </c>
      <c r="C772">
        <v>30</v>
      </c>
      <c r="D772" t="s">
        <v>17</v>
      </c>
      <c r="E772" t="str">
        <f ca="1">IF(Table1[[#This Row],[is_smoker]]=0,"non-smoker","smoker")</f>
        <v>non-smoker</v>
      </c>
      <c r="F772" t="s">
        <v>24</v>
      </c>
      <c r="G772" s="2">
        <v>1.70325203252032</v>
      </c>
      <c r="H772" s="2">
        <v>4984.6620726291303</v>
      </c>
    </row>
    <row r="773" spans="1:8" x14ac:dyDescent="0.3">
      <c r="A773" t="s">
        <v>840</v>
      </c>
      <c r="B773" t="s">
        <v>157</v>
      </c>
      <c r="C773">
        <v>50</v>
      </c>
      <c r="D773" t="s">
        <v>17</v>
      </c>
      <c r="E773" t="str">
        <f ca="1">IF(Table1[[#This Row],[is_smoker]]=0,"non-smoker","smoker")</f>
        <v>non-smoker</v>
      </c>
      <c r="F773" t="s">
        <v>14</v>
      </c>
      <c r="G773" s="2">
        <v>0.66666666666666596</v>
      </c>
      <c r="H773" s="2">
        <v>1691.87499862293</v>
      </c>
    </row>
    <row r="774" spans="1:8" x14ac:dyDescent="0.3">
      <c r="A774" t="s">
        <v>841</v>
      </c>
      <c r="B774" t="s">
        <v>178</v>
      </c>
      <c r="C774">
        <v>27</v>
      </c>
      <c r="D774" t="s">
        <v>10</v>
      </c>
      <c r="E774" t="str">
        <f ca="1">IF(Table1[[#This Row],[is_smoker]]=0,"non-smoker","smoker")</f>
        <v>non-smoker</v>
      </c>
      <c r="F774" t="s">
        <v>56</v>
      </c>
      <c r="G774" s="2">
        <v>0.19512195121951201</v>
      </c>
      <c r="H774" s="2">
        <v>202.65349967499199</v>
      </c>
    </row>
    <row r="775" spans="1:8" x14ac:dyDescent="0.3">
      <c r="A775" t="s">
        <v>842</v>
      </c>
      <c r="B775" t="s">
        <v>13</v>
      </c>
      <c r="C775">
        <v>40</v>
      </c>
      <c r="D775" t="s">
        <v>17</v>
      </c>
      <c r="E775" t="str">
        <f ca="1">IF(Table1[[#This Row],[is_smoker]]=0,"non-smoker","smoker")</f>
        <v>non-smoker</v>
      </c>
      <c r="F775" t="s">
        <v>2004</v>
      </c>
      <c r="G775" s="2">
        <v>1.2073170731707299</v>
      </c>
      <c r="H775" s="2">
        <v>3290.2546445897801</v>
      </c>
    </row>
    <row r="776" spans="1:8" x14ac:dyDescent="0.3">
      <c r="A776" t="s">
        <v>843</v>
      </c>
      <c r="B776" t="s">
        <v>175</v>
      </c>
      <c r="C776">
        <v>33</v>
      </c>
      <c r="D776" t="s">
        <v>10</v>
      </c>
      <c r="E776" t="str">
        <f ca="1">IF(Table1[[#This Row],[is_smoker]]=0,"non-smoker","smoker")</f>
        <v>non-smoker</v>
      </c>
      <c r="F776" t="s">
        <v>56</v>
      </c>
      <c r="G776" s="2">
        <v>0.19512195121951201</v>
      </c>
      <c r="H776" s="2">
        <v>194.17124979684701</v>
      </c>
    </row>
    <row r="777" spans="1:8" x14ac:dyDescent="0.3">
      <c r="A777" t="s">
        <v>844</v>
      </c>
      <c r="B777" t="s">
        <v>50</v>
      </c>
      <c r="C777">
        <v>60</v>
      </c>
      <c r="D777" t="s">
        <v>10</v>
      </c>
      <c r="E777" t="str">
        <f ca="1">IF(Table1[[#This Row],[is_smoker]]=0,"non-smoker","smoker")</f>
        <v>non-smoker</v>
      </c>
      <c r="F777" t="s">
        <v>27</v>
      </c>
      <c r="G777" s="2">
        <v>0.53252032520325199</v>
      </c>
      <c r="H777" s="2">
        <v>437.173335163844</v>
      </c>
    </row>
    <row r="778" spans="1:8" x14ac:dyDescent="0.3">
      <c r="A778" t="s">
        <v>845</v>
      </c>
      <c r="B778" t="s">
        <v>110</v>
      </c>
      <c r="C778">
        <v>24</v>
      </c>
      <c r="D778" t="s">
        <v>10</v>
      </c>
      <c r="E778" t="str">
        <f ca="1">IF(Table1[[#This Row],[is_smoker]]=0,"non-smoker","smoker")</f>
        <v>non-smoker</v>
      </c>
      <c r="F778" t="s">
        <v>14</v>
      </c>
      <c r="G778" s="2">
        <v>0.66666666666666596</v>
      </c>
      <c r="H778" s="2">
        <v>707.36132294671597</v>
      </c>
    </row>
    <row r="779" spans="1:8" x14ac:dyDescent="0.3">
      <c r="A779" t="s">
        <v>846</v>
      </c>
      <c r="B779" t="s">
        <v>16</v>
      </c>
      <c r="C779">
        <v>43</v>
      </c>
      <c r="D779" t="s">
        <v>17</v>
      </c>
      <c r="E779" t="str">
        <f ca="1">IF(Table1[[#This Row],[is_smoker]]=0,"non-smoker","smoker")</f>
        <v>non-smoker</v>
      </c>
      <c r="F779" t="s">
        <v>2004</v>
      </c>
      <c r="G779" s="2">
        <v>1.2073170731707299</v>
      </c>
      <c r="H779" s="2">
        <v>3220.66029924945</v>
      </c>
    </row>
    <row r="780" spans="1:8" x14ac:dyDescent="0.3">
      <c r="A780" t="s">
        <v>847</v>
      </c>
      <c r="B780" t="s">
        <v>60</v>
      </c>
      <c r="C780">
        <v>33</v>
      </c>
      <c r="D780" t="s">
        <v>10</v>
      </c>
      <c r="E780" t="str">
        <f ca="1">IF(Table1[[#This Row],[is_smoker]]=0,"non-smoker","smoker")</f>
        <v>non-smoker</v>
      </c>
      <c r="F780" t="s">
        <v>44</v>
      </c>
      <c r="G780" s="2">
        <v>1.1341463414634101</v>
      </c>
      <c r="H780" s="2">
        <v>1128.6203894441701</v>
      </c>
    </row>
    <row r="781" spans="1:8" x14ac:dyDescent="0.3">
      <c r="A781" t="s">
        <v>848</v>
      </c>
      <c r="B781" t="s">
        <v>35</v>
      </c>
      <c r="C781">
        <v>20</v>
      </c>
      <c r="D781" t="s">
        <v>10</v>
      </c>
      <c r="E781" t="str">
        <f ca="1">IF(Table1[[#This Row],[is_smoker]]=0,"non-smoker","smoker")</f>
        <v>non-smoker</v>
      </c>
      <c r="F781" t="s">
        <v>24</v>
      </c>
      <c r="G781" s="2">
        <v>1.70325203252032</v>
      </c>
      <c r="H781" s="2">
        <v>1859.4775503723299</v>
      </c>
    </row>
    <row r="782" spans="1:8" x14ac:dyDescent="0.3">
      <c r="A782" s="1" t="s">
        <v>849</v>
      </c>
      <c r="B782" t="s">
        <v>35</v>
      </c>
      <c r="C782">
        <v>35</v>
      </c>
      <c r="D782" t="s">
        <v>17</v>
      </c>
      <c r="E782" t="str">
        <f ca="1">IF(Table1[[#This Row],[is_smoker]]=0,"non-smoker","smoker")</f>
        <v>non-smoker</v>
      </c>
      <c r="F782" t="s">
        <v>11</v>
      </c>
      <c r="G782" s="2">
        <v>1.1544715447154399</v>
      </c>
      <c r="H782" s="2">
        <v>3260.3612287764299</v>
      </c>
    </row>
    <row r="783" spans="1:8" x14ac:dyDescent="0.3">
      <c r="A783" t="s">
        <v>850</v>
      </c>
      <c r="B783" t="s">
        <v>82</v>
      </c>
      <c r="C783">
        <v>43</v>
      </c>
      <c r="D783" t="s">
        <v>17</v>
      </c>
      <c r="E783" t="str">
        <f ca="1">IF(Table1[[#This Row],[is_smoker]]=0,"non-smoker","smoker")</f>
        <v>non-smoker</v>
      </c>
      <c r="F783" t="s">
        <v>2004</v>
      </c>
      <c r="G783" s="2">
        <v>1.2073170731707299</v>
      </c>
      <c r="H783" s="2">
        <v>3220.66029924945</v>
      </c>
    </row>
    <row r="784" spans="1:8" x14ac:dyDescent="0.3">
      <c r="A784" t="s">
        <v>851</v>
      </c>
      <c r="B784" t="s">
        <v>31</v>
      </c>
      <c r="C784">
        <v>25</v>
      </c>
      <c r="D784" t="s">
        <v>10</v>
      </c>
      <c r="E784" t="str">
        <f ca="1">IF(Table1[[#This Row],[is_smoker]]=0,"non-smoker","smoker")</f>
        <v>non-smoker</v>
      </c>
      <c r="F784" t="s">
        <v>48</v>
      </c>
      <c r="G784" s="2">
        <v>0.46341463414634099</v>
      </c>
      <c r="H784" s="2">
        <v>488.21087524812702</v>
      </c>
    </row>
    <row r="785" spans="1:8" x14ac:dyDescent="0.3">
      <c r="A785" t="s">
        <v>852</v>
      </c>
      <c r="B785" t="s">
        <v>60</v>
      </c>
      <c r="C785">
        <v>41</v>
      </c>
      <c r="D785" t="s">
        <v>17</v>
      </c>
      <c r="E785" t="str">
        <f ca="1">IF(Table1[[#This Row],[is_smoker]]=0,"non-smoker","smoker")</f>
        <v>non-smoker</v>
      </c>
      <c r="F785" t="s">
        <v>24</v>
      </c>
      <c r="G785" s="2">
        <v>1.70325203252032</v>
      </c>
      <c r="H785" s="2">
        <v>4608.8462544098002</v>
      </c>
    </row>
    <row r="786" spans="1:8" x14ac:dyDescent="0.3">
      <c r="A786" t="s">
        <v>853</v>
      </c>
      <c r="B786" t="s">
        <v>178</v>
      </c>
      <c r="C786">
        <v>64</v>
      </c>
      <c r="D786" t="s">
        <v>17</v>
      </c>
      <c r="E786" t="str">
        <f ca="1">IF(Table1[[#This Row],[is_smoker]]=0,"non-smoker","smoker")</f>
        <v>non-smoker</v>
      </c>
      <c r="F786" t="s">
        <v>2004</v>
      </c>
      <c r="G786" s="2">
        <v>1.2073170731707299</v>
      </c>
      <c r="H786" s="2">
        <v>2773.0185991111498</v>
      </c>
    </row>
    <row r="787" spans="1:8" x14ac:dyDescent="0.3">
      <c r="A787" t="s">
        <v>854</v>
      </c>
      <c r="B787" t="s">
        <v>192</v>
      </c>
      <c r="C787">
        <v>18</v>
      </c>
      <c r="D787" t="s">
        <v>17</v>
      </c>
      <c r="E787" t="str">
        <f ca="1">IF(Table1[[#This Row],[is_smoker]]=0,"non-smoker","smoker")</f>
        <v>smoker</v>
      </c>
      <c r="F787" t="s">
        <v>27</v>
      </c>
      <c r="G787" s="2">
        <v>0.53252032520325199</v>
      </c>
      <c r="H787" s="2">
        <v>1823.0516381324601</v>
      </c>
    </row>
    <row r="788" spans="1:8" x14ac:dyDescent="0.3">
      <c r="A788" t="s">
        <v>855</v>
      </c>
      <c r="B788" t="s">
        <v>23</v>
      </c>
      <c r="C788">
        <v>51</v>
      </c>
      <c r="D788" t="s">
        <v>10</v>
      </c>
      <c r="E788" t="str">
        <f ca="1">IF(Table1[[#This Row],[is_smoker]]=0,"non-smoker","smoker")</f>
        <v>non-smoker</v>
      </c>
      <c r="F788" t="s">
        <v>11</v>
      </c>
      <c r="G788" s="2">
        <v>1.1544715447154399</v>
      </c>
      <c r="H788" s="2">
        <v>1010.54226541252</v>
      </c>
    </row>
    <row r="789" spans="1:8" x14ac:dyDescent="0.3">
      <c r="A789" t="s">
        <v>856</v>
      </c>
      <c r="B789" t="s">
        <v>85</v>
      </c>
      <c r="C789">
        <v>38</v>
      </c>
      <c r="D789" t="s">
        <v>17</v>
      </c>
      <c r="E789" t="str">
        <f ca="1">IF(Table1[[#This Row],[is_smoker]]=0,"non-smoker","smoker")</f>
        <v>non-smoker</v>
      </c>
      <c r="F789" t="s">
        <v>27</v>
      </c>
      <c r="G789" s="2">
        <v>0.53252032520325199</v>
      </c>
      <c r="H789" s="2">
        <v>1472.08905781915</v>
      </c>
    </row>
    <row r="790" spans="1:8" x14ac:dyDescent="0.3">
      <c r="A790" t="s">
        <v>857</v>
      </c>
      <c r="B790" t="s">
        <v>110</v>
      </c>
      <c r="C790">
        <v>22</v>
      </c>
      <c r="D790" t="s">
        <v>10</v>
      </c>
      <c r="E790" t="str">
        <f ca="1">IF(Table1[[#This Row],[is_smoker]]=0,"non-smoker","smoker")</f>
        <v>non-smoker</v>
      </c>
      <c r="F790" t="s">
        <v>11</v>
      </c>
      <c r="G790" s="2">
        <v>1.1544715447154399</v>
      </c>
      <c r="H790" s="2">
        <v>1242.5261259026199</v>
      </c>
    </row>
    <row r="791" spans="1:8" x14ac:dyDescent="0.3">
      <c r="A791" t="s">
        <v>858</v>
      </c>
      <c r="B791" t="s">
        <v>43</v>
      </c>
      <c r="C791">
        <v>36</v>
      </c>
      <c r="D791" t="s">
        <v>17</v>
      </c>
      <c r="E791" t="str">
        <f ca="1">IF(Table1[[#This Row],[is_smoker]]=0,"non-smoker","smoker")</f>
        <v>non-smoker</v>
      </c>
      <c r="F791" t="s">
        <v>48</v>
      </c>
      <c r="G791" s="2">
        <v>0.46341463414634099</v>
      </c>
      <c r="H791" s="2">
        <v>1299.44339990763</v>
      </c>
    </row>
    <row r="792" spans="1:8" x14ac:dyDescent="0.3">
      <c r="A792" t="s">
        <v>859</v>
      </c>
      <c r="B792" t="s">
        <v>13</v>
      </c>
      <c r="C792">
        <v>28</v>
      </c>
      <c r="D792" t="s">
        <v>17</v>
      </c>
      <c r="E792" t="str">
        <f ca="1">IF(Table1[[#This Row],[is_smoker]]=0,"non-smoker","smoker")</f>
        <v>non-smoker</v>
      </c>
      <c r="F792" t="s">
        <v>24</v>
      </c>
      <c r="G792" s="2">
        <v>1.70325203252032</v>
      </c>
      <c r="H792" s="2">
        <v>5056.2140219319399</v>
      </c>
    </row>
    <row r="793" spans="1:8" x14ac:dyDescent="0.3">
      <c r="A793" s="1" t="s">
        <v>860</v>
      </c>
      <c r="B793" t="s">
        <v>82</v>
      </c>
      <c r="C793">
        <v>21</v>
      </c>
      <c r="D793" t="s">
        <v>10</v>
      </c>
      <c r="E793" t="str">
        <f ca="1">IF(Table1[[#This Row],[is_smoker]]=0,"non-smoker","smoker")</f>
        <v>non-smoker</v>
      </c>
      <c r="F793" t="s">
        <v>44</v>
      </c>
      <c r="G793" s="2">
        <v>1.1341463414634101</v>
      </c>
      <c r="H793" s="2">
        <v>1229.3803184478199</v>
      </c>
    </row>
    <row r="794" spans="1:8" x14ac:dyDescent="0.3">
      <c r="A794" t="s">
        <v>861</v>
      </c>
      <c r="B794" t="s">
        <v>16</v>
      </c>
      <c r="C794">
        <v>30</v>
      </c>
      <c r="D794" t="s">
        <v>10</v>
      </c>
      <c r="E794" t="str">
        <f ca="1">IF(Table1[[#This Row],[is_smoker]]=0,"non-smoker","smoker")</f>
        <v>non-smoker</v>
      </c>
      <c r="F794" t="s">
        <v>27</v>
      </c>
      <c r="G794" s="2">
        <v>0.53252032520325199</v>
      </c>
      <c r="H794" s="2">
        <v>541.37671848739603</v>
      </c>
    </row>
    <row r="795" spans="1:8" x14ac:dyDescent="0.3">
      <c r="A795" t="s">
        <v>862</v>
      </c>
      <c r="B795" t="s">
        <v>584</v>
      </c>
      <c r="C795">
        <v>29</v>
      </c>
      <c r="D795" t="s">
        <v>10</v>
      </c>
      <c r="E795" t="str">
        <f ca="1">IF(Table1[[#This Row],[is_smoker]]=0,"non-smoker","smoker")</f>
        <v>non-smoker</v>
      </c>
      <c r="F795" t="s">
        <v>27</v>
      </c>
      <c r="G795" s="2">
        <v>0.53252032520325199</v>
      </c>
      <c r="H795" s="2">
        <v>545.24844916377697</v>
      </c>
    </row>
    <row r="796" spans="1:8" x14ac:dyDescent="0.3">
      <c r="A796" t="s">
        <v>863</v>
      </c>
      <c r="B796" t="s">
        <v>13</v>
      </c>
      <c r="C796">
        <v>23</v>
      </c>
      <c r="D796" t="s">
        <v>10</v>
      </c>
      <c r="E796" t="str">
        <f ca="1">IF(Table1[[#This Row],[is_smoker]]=0,"non-smoker","smoker")</f>
        <v>non-smoker</v>
      </c>
      <c r="F796" t="s">
        <v>61</v>
      </c>
      <c r="G796" s="2">
        <v>1.61788617886178</v>
      </c>
      <c r="H796" s="2">
        <v>1728.9219877114799</v>
      </c>
    </row>
    <row r="797" spans="1:8" x14ac:dyDescent="0.3">
      <c r="A797" t="s">
        <v>864</v>
      </c>
      <c r="B797" t="s">
        <v>29</v>
      </c>
      <c r="C797">
        <v>21</v>
      </c>
      <c r="D797" t="s">
        <v>10</v>
      </c>
      <c r="E797" t="str">
        <f ca="1">IF(Table1[[#This Row],[is_smoker]]=0,"non-smoker","smoker")</f>
        <v>smoker</v>
      </c>
      <c r="F797" t="s">
        <v>11</v>
      </c>
      <c r="G797" s="2">
        <v>1.1544715447154399</v>
      </c>
      <c r="H797" s="2">
        <v>1343.9032521715201</v>
      </c>
    </row>
    <row r="798" spans="1:8" x14ac:dyDescent="0.3">
      <c r="A798" t="s">
        <v>865</v>
      </c>
      <c r="B798" t="s">
        <v>90</v>
      </c>
      <c r="C798">
        <v>61</v>
      </c>
      <c r="D798" t="s">
        <v>10</v>
      </c>
      <c r="E798" t="str">
        <f ca="1">IF(Table1[[#This Row],[is_smoker]]=0,"non-smoker","smoker")</f>
        <v>non-smoker</v>
      </c>
      <c r="F798" t="s">
        <v>19</v>
      </c>
      <c r="G798" s="2">
        <v>1.11788617886178</v>
      </c>
      <c r="H798" s="2">
        <v>911.21361322554799</v>
      </c>
    </row>
    <row r="799" spans="1:8" x14ac:dyDescent="0.3">
      <c r="A799" t="s">
        <v>866</v>
      </c>
      <c r="B799" t="s">
        <v>85</v>
      </c>
      <c r="C799">
        <v>40</v>
      </c>
      <c r="D799" t="s">
        <v>10</v>
      </c>
      <c r="E799" t="str">
        <f ca="1">IF(Table1[[#This Row],[is_smoker]]=0,"non-smoker","smoker")</f>
        <v>non-smoker</v>
      </c>
      <c r="F799" t="s">
        <v>24</v>
      </c>
      <c r="G799" s="2">
        <v>1.70325203252032</v>
      </c>
      <c r="H799" s="2">
        <v>1612.4775091353899</v>
      </c>
    </row>
    <row r="800" spans="1:8" x14ac:dyDescent="0.3">
      <c r="A800" t="s">
        <v>867</v>
      </c>
      <c r="B800" t="s">
        <v>16</v>
      </c>
      <c r="C800">
        <v>63</v>
      </c>
      <c r="D800" t="s">
        <v>17</v>
      </c>
      <c r="E800" t="str">
        <f ca="1">IF(Table1[[#This Row],[is_smoker]]=0,"non-smoker","smoker")</f>
        <v>non-smoker</v>
      </c>
      <c r="F800" t="s">
        <v>11</v>
      </c>
      <c r="G800" s="2">
        <v>1.1544715447154399</v>
      </c>
      <c r="H800" s="2">
        <v>2670.6042566689898</v>
      </c>
    </row>
    <row r="801" spans="1:8" x14ac:dyDescent="0.3">
      <c r="A801" t="s">
        <v>868</v>
      </c>
      <c r="B801" t="s">
        <v>243</v>
      </c>
      <c r="C801">
        <v>19</v>
      </c>
      <c r="D801" t="s">
        <v>10</v>
      </c>
      <c r="E801" t="str">
        <f ca="1">IF(Table1[[#This Row],[is_smoker]]=0,"non-smoker","smoker")</f>
        <v>non-smoker</v>
      </c>
      <c r="F801" t="s">
        <v>61</v>
      </c>
      <c r="G801" s="2">
        <v>1.61788617886178</v>
      </c>
      <c r="H801" s="2">
        <v>1778.91358722936</v>
      </c>
    </row>
    <row r="802" spans="1:8" x14ac:dyDescent="0.3">
      <c r="A802" t="s">
        <v>869</v>
      </c>
      <c r="B802" t="s">
        <v>29</v>
      </c>
      <c r="C802">
        <v>32</v>
      </c>
      <c r="D802" t="s">
        <v>17</v>
      </c>
      <c r="E802" t="str">
        <f ca="1">IF(Table1[[#This Row],[is_smoker]]=0,"non-smoker","smoker")</f>
        <v>non-smoker</v>
      </c>
      <c r="F802" t="s">
        <v>56</v>
      </c>
      <c r="G802" s="2">
        <v>0.19512195121951201</v>
      </c>
      <c r="H802" s="2">
        <v>562.95438766831296</v>
      </c>
    </row>
    <row r="803" spans="1:8" x14ac:dyDescent="0.3">
      <c r="A803" t="s">
        <v>870</v>
      </c>
      <c r="B803" t="s">
        <v>201</v>
      </c>
      <c r="C803">
        <v>30</v>
      </c>
      <c r="D803" t="s">
        <v>17</v>
      </c>
      <c r="E803" t="str">
        <f ca="1">IF(Table1[[#This Row],[is_smoker]]=0,"non-smoker","smoker")</f>
        <v>non-smoker</v>
      </c>
      <c r="F803" t="s">
        <v>11</v>
      </c>
      <c r="G803" s="2">
        <v>1.1544715447154399</v>
      </c>
      <c r="H803" s="2">
        <v>3378.62536665077</v>
      </c>
    </row>
    <row r="804" spans="1:8" x14ac:dyDescent="0.3">
      <c r="A804" t="s">
        <v>871</v>
      </c>
      <c r="B804" t="s">
        <v>50</v>
      </c>
      <c r="C804">
        <v>46</v>
      </c>
      <c r="D804" t="s">
        <v>17</v>
      </c>
      <c r="E804" t="str">
        <f ca="1">IF(Table1[[#This Row],[is_smoker]]=0,"non-smoker","smoker")</f>
        <v>non-smoker</v>
      </c>
      <c r="F804" t="s">
        <v>44</v>
      </c>
      <c r="G804" s="2">
        <v>1.1341463414634101</v>
      </c>
      <c r="H804" s="2">
        <v>2961.4750813205301</v>
      </c>
    </row>
    <row r="805" spans="1:8" x14ac:dyDescent="0.3">
      <c r="A805" t="s">
        <v>872</v>
      </c>
      <c r="B805" t="s">
        <v>60</v>
      </c>
      <c r="C805">
        <v>31</v>
      </c>
      <c r="D805" t="s">
        <v>10</v>
      </c>
      <c r="E805" t="str">
        <f ca="1">IF(Table1[[#This Row],[is_smoker]]=0,"non-smoker","smoker")</f>
        <v>non-smoker</v>
      </c>
      <c r="F805" t="s">
        <v>24</v>
      </c>
      <c r="G805" s="2">
        <v>1.70325203252032</v>
      </c>
      <c r="H805" s="2">
        <v>1719.2832770451801</v>
      </c>
    </row>
    <row r="806" spans="1:8" x14ac:dyDescent="0.3">
      <c r="A806" t="s">
        <v>873</v>
      </c>
      <c r="B806" t="s">
        <v>37</v>
      </c>
      <c r="C806">
        <v>50</v>
      </c>
      <c r="D806" t="s">
        <v>17</v>
      </c>
      <c r="E806" t="str">
        <f ca="1">IF(Table1[[#This Row],[is_smoker]]=0,"non-smoker","smoker")</f>
        <v>non-smoker</v>
      </c>
      <c r="F806" t="s">
        <v>61</v>
      </c>
      <c r="G806" s="2">
        <v>1.61788617886178</v>
      </c>
      <c r="H806" s="2">
        <v>4105.8917649507803</v>
      </c>
    </row>
    <row r="807" spans="1:8" x14ac:dyDescent="0.3">
      <c r="A807" t="s">
        <v>874</v>
      </c>
      <c r="B807" t="s">
        <v>46</v>
      </c>
      <c r="C807">
        <v>57</v>
      </c>
      <c r="D807" t="s">
        <v>10</v>
      </c>
      <c r="E807" t="str">
        <f ca="1">IF(Table1[[#This Row],[is_smoker]]=0,"non-smoker","smoker")</f>
        <v>non-smoker</v>
      </c>
      <c r="F807" t="s">
        <v>56</v>
      </c>
      <c r="G807" s="2">
        <v>0.19512195121951201</v>
      </c>
      <c r="H807" s="2">
        <v>163.64705631057501</v>
      </c>
    </row>
    <row r="808" spans="1:8" x14ac:dyDescent="0.3">
      <c r="A808" t="s">
        <v>875</v>
      </c>
      <c r="B808" t="s">
        <v>16</v>
      </c>
      <c r="C808">
        <v>61</v>
      </c>
      <c r="D808" t="s">
        <v>17</v>
      </c>
      <c r="E808" t="str">
        <f ca="1">IF(Table1[[#This Row],[is_smoker]]=0,"non-smoker","smoker")</f>
        <v>non-smoker</v>
      </c>
      <c r="F808" t="s">
        <v>14</v>
      </c>
      <c r="G808" s="2">
        <v>0.66666666666666596</v>
      </c>
      <c r="H808" s="2">
        <v>1564.3170262533199</v>
      </c>
    </row>
    <row r="809" spans="1:8" x14ac:dyDescent="0.3">
      <c r="A809" t="s">
        <v>876</v>
      </c>
      <c r="B809" t="s">
        <v>383</v>
      </c>
      <c r="C809">
        <v>56</v>
      </c>
      <c r="D809" t="s">
        <v>10</v>
      </c>
      <c r="E809" t="str">
        <f ca="1">IF(Table1[[#This Row],[is_smoker]]=0,"non-smoker","smoker")</f>
        <v>non-smoker</v>
      </c>
      <c r="F809" t="s">
        <v>61</v>
      </c>
      <c r="G809" s="2">
        <v>1.61788617886178</v>
      </c>
      <c r="H809" s="2">
        <v>1366.6109493542299</v>
      </c>
    </row>
    <row r="810" spans="1:8" x14ac:dyDescent="0.3">
      <c r="A810" t="s">
        <v>877</v>
      </c>
      <c r="B810" t="s">
        <v>46</v>
      </c>
      <c r="C810">
        <v>36</v>
      </c>
      <c r="D810" t="s">
        <v>10</v>
      </c>
      <c r="E810" t="str">
        <f ca="1">IF(Table1[[#This Row],[is_smoker]]=0,"non-smoker","smoker")</f>
        <v>non-smoker</v>
      </c>
      <c r="F810" t="s">
        <v>14</v>
      </c>
      <c r="G810" s="2">
        <v>0.66666666666666596</v>
      </c>
      <c r="H810" s="2">
        <v>649.38603603955198</v>
      </c>
    </row>
    <row r="811" spans="1:8" x14ac:dyDescent="0.3">
      <c r="A811" t="s">
        <v>878</v>
      </c>
      <c r="B811" t="s">
        <v>60</v>
      </c>
      <c r="C811">
        <v>20</v>
      </c>
      <c r="D811" t="s">
        <v>17</v>
      </c>
      <c r="E811" t="str">
        <f ca="1">IF(Table1[[#This Row],[is_smoker]]=0,"non-smoker","smoker")</f>
        <v>non-smoker</v>
      </c>
      <c r="F811" t="s">
        <v>24</v>
      </c>
      <c r="G811" s="2">
        <v>1.70325203252032</v>
      </c>
      <c r="H811" s="2">
        <v>5352.8411824140103</v>
      </c>
    </row>
    <row r="812" spans="1:8" x14ac:dyDescent="0.3">
      <c r="A812" t="s">
        <v>879</v>
      </c>
      <c r="B812" t="s">
        <v>29</v>
      </c>
      <c r="C812">
        <v>24</v>
      </c>
      <c r="D812" t="s">
        <v>10</v>
      </c>
      <c r="E812" t="str">
        <f ca="1">IF(Table1[[#This Row],[is_smoker]]=0,"non-smoker","smoker")</f>
        <v>non-smoker</v>
      </c>
      <c r="F812" t="s">
        <v>27</v>
      </c>
      <c r="G812" s="2">
        <v>0.53252032520325199</v>
      </c>
      <c r="H812" s="2">
        <v>565.02642259768197</v>
      </c>
    </row>
    <row r="813" spans="1:8" x14ac:dyDescent="0.3">
      <c r="A813" t="s">
        <v>880</v>
      </c>
      <c r="B813" t="s">
        <v>50</v>
      </c>
      <c r="C813">
        <v>18</v>
      </c>
      <c r="D813" t="s">
        <v>17</v>
      </c>
      <c r="E813" t="str">
        <f ca="1">IF(Table1[[#This Row],[is_smoker]]=0,"non-smoker","smoker")</f>
        <v>non-smoker</v>
      </c>
      <c r="F813" t="s">
        <v>61</v>
      </c>
      <c r="G813" s="2">
        <v>1.61788617886178</v>
      </c>
      <c r="H813" s="2">
        <v>5157.5462910256401</v>
      </c>
    </row>
    <row r="814" spans="1:8" x14ac:dyDescent="0.3">
      <c r="A814" t="s">
        <v>881</v>
      </c>
      <c r="B814" t="s">
        <v>50</v>
      </c>
      <c r="C814">
        <v>43</v>
      </c>
      <c r="D814" t="s">
        <v>10</v>
      </c>
      <c r="E814" t="str">
        <f ca="1">IF(Table1[[#This Row],[is_smoker]]=0,"non-smoker","smoker")</f>
        <v>non-smoker</v>
      </c>
      <c r="F814" t="s">
        <v>48</v>
      </c>
      <c r="G814" s="2">
        <v>0.46341463414634099</v>
      </c>
      <c r="H814" s="2">
        <v>429.43743794198002</v>
      </c>
    </row>
    <row r="815" spans="1:8" x14ac:dyDescent="0.3">
      <c r="A815" t="s">
        <v>882</v>
      </c>
      <c r="B815" t="s">
        <v>13</v>
      </c>
      <c r="C815">
        <v>29</v>
      </c>
      <c r="D815" t="s">
        <v>17</v>
      </c>
      <c r="E815" t="str">
        <f ca="1">IF(Table1[[#This Row],[is_smoker]]=0,"non-smoker","smoker")</f>
        <v>non-smoker</v>
      </c>
      <c r="F815" t="s">
        <v>14</v>
      </c>
      <c r="G815" s="2">
        <v>0.66666666666666596</v>
      </c>
      <c r="H815" s="2">
        <v>1964.99029653252</v>
      </c>
    </row>
    <row r="816" spans="1:8" x14ac:dyDescent="0.3">
      <c r="A816" t="s">
        <v>883</v>
      </c>
      <c r="B816" t="s">
        <v>113</v>
      </c>
      <c r="C816">
        <v>57</v>
      </c>
      <c r="D816" t="s">
        <v>17</v>
      </c>
      <c r="E816" t="str">
        <f ca="1">IF(Table1[[#This Row],[is_smoker]]=0,"non-smoker","smoker")</f>
        <v>non-smoker</v>
      </c>
      <c r="F816" t="s">
        <v>44</v>
      </c>
      <c r="G816" s="2">
        <v>1.1341463414634101</v>
      </c>
      <c r="H816" s="2">
        <v>2738.19631846638</v>
      </c>
    </row>
    <row r="817" spans="1:8" x14ac:dyDescent="0.3">
      <c r="A817" t="s">
        <v>884</v>
      </c>
      <c r="B817" t="s">
        <v>16</v>
      </c>
      <c r="C817">
        <v>22</v>
      </c>
      <c r="D817" t="s">
        <v>10</v>
      </c>
      <c r="E817" t="str">
        <f ca="1">IF(Table1[[#This Row],[is_smoker]]=0,"non-smoker","smoker")</f>
        <v>non-smoker</v>
      </c>
      <c r="F817" t="s">
        <v>48</v>
      </c>
      <c r="G817" s="2">
        <v>0.46341463414634099</v>
      </c>
      <c r="H817" s="2">
        <v>498.76048715809497</v>
      </c>
    </row>
    <row r="818" spans="1:8" x14ac:dyDescent="0.3">
      <c r="A818" t="s">
        <v>885</v>
      </c>
      <c r="B818" t="s">
        <v>50</v>
      </c>
      <c r="C818">
        <v>25</v>
      </c>
      <c r="D818" t="s">
        <v>17</v>
      </c>
      <c r="E818" t="str">
        <f ca="1">IF(Table1[[#This Row],[is_smoker]]=0,"non-smoker","smoker")</f>
        <v>non-smoker</v>
      </c>
      <c r="F818" t="s">
        <v>2004</v>
      </c>
      <c r="G818" s="2">
        <v>1.2073170731707299</v>
      </c>
      <c r="H818" s="2">
        <v>3661.4445892486701</v>
      </c>
    </row>
    <row r="819" spans="1:8" x14ac:dyDescent="0.3">
      <c r="A819" t="s">
        <v>886</v>
      </c>
      <c r="B819" t="s">
        <v>175</v>
      </c>
      <c r="C819">
        <v>22</v>
      </c>
      <c r="D819" t="s">
        <v>10</v>
      </c>
      <c r="E819" t="str">
        <f ca="1">IF(Table1[[#This Row],[is_smoker]]=0,"non-smoker","smoker")</f>
        <v>non-smoker</v>
      </c>
      <c r="F819" t="s">
        <v>2004</v>
      </c>
      <c r="G819" s="2">
        <v>1.2073170731707299</v>
      </c>
      <c r="H819" s="2">
        <v>1299.40232180661</v>
      </c>
    </row>
    <row r="820" spans="1:8" x14ac:dyDescent="0.3">
      <c r="A820" t="s">
        <v>887</v>
      </c>
      <c r="B820" t="s">
        <v>46</v>
      </c>
      <c r="C820">
        <v>23</v>
      </c>
      <c r="D820" t="s">
        <v>10</v>
      </c>
      <c r="E820" t="str">
        <f ca="1">IF(Table1[[#This Row],[is_smoker]]=0,"non-smoker","smoker")</f>
        <v>non-smoker</v>
      </c>
      <c r="F820" t="s">
        <v>56</v>
      </c>
      <c r="G820" s="2">
        <v>0.19512195121951201</v>
      </c>
      <c r="H820" s="2">
        <v>208.51320454811801</v>
      </c>
    </row>
    <row r="821" spans="1:8" x14ac:dyDescent="0.3">
      <c r="A821" t="s">
        <v>888</v>
      </c>
      <c r="B821" t="s">
        <v>82</v>
      </c>
      <c r="C821">
        <v>26</v>
      </c>
      <c r="D821" t="s">
        <v>10</v>
      </c>
      <c r="E821" t="str">
        <f ca="1">IF(Table1[[#This Row],[is_smoker]]=0,"non-smoker","smoker")</f>
        <v>non-smoker</v>
      </c>
      <c r="F821" t="s">
        <v>27</v>
      </c>
      <c r="G821" s="2">
        <v>0.53252032520325199</v>
      </c>
      <c r="H821" s="2">
        <v>557.030570015276</v>
      </c>
    </row>
    <row r="822" spans="1:8" x14ac:dyDescent="0.3">
      <c r="A822" t="s">
        <v>889</v>
      </c>
      <c r="B822" t="s">
        <v>35</v>
      </c>
      <c r="C822">
        <v>57</v>
      </c>
      <c r="D822" t="s">
        <v>17</v>
      </c>
      <c r="E822" t="str">
        <f ca="1">IF(Table1[[#This Row],[is_smoker]]=0,"non-smoker","smoker")</f>
        <v>non-smoker</v>
      </c>
      <c r="F822" t="s">
        <v>24</v>
      </c>
      <c r="G822" s="2">
        <v>1.70325203252032</v>
      </c>
      <c r="H822" s="2">
        <v>4112.2016395606297</v>
      </c>
    </row>
    <row r="823" spans="1:8" x14ac:dyDescent="0.3">
      <c r="A823" t="s">
        <v>890</v>
      </c>
      <c r="B823" t="s">
        <v>50</v>
      </c>
      <c r="C823">
        <v>43</v>
      </c>
      <c r="D823" t="s">
        <v>17</v>
      </c>
      <c r="E823" t="str">
        <f ca="1">IF(Table1[[#This Row],[is_smoker]]=0,"non-smoker","smoker")</f>
        <v>non-smoker</v>
      </c>
      <c r="F823" t="s">
        <v>61</v>
      </c>
      <c r="G823" s="2">
        <v>1.61788617886178</v>
      </c>
      <c r="H823" s="2">
        <v>4315.9016804757002</v>
      </c>
    </row>
    <row r="824" spans="1:8" x14ac:dyDescent="0.3">
      <c r="A824" t="s">
        <v>891</v>
      </c>
      <c r="B824" t="s">
        <v>43</v>
      </c>
      <c r="C824">
        <v>57</v>
      </c>
      <c r="D824" t="s">
        <v>10</v>
      </c>
      <c r="E824" t="str">
        <f ca="1">IF(Table1[[#This Row],[is_smoker]]=0,"non-smoker","smoker")</f>
        <v>non-smoker</v>
      </c>
      <c r="F824" t="s">
        <v>19</v>
      </c>
      <c r="G824" s="2">
        <v>1.11788617886178</v>
      </c>
      <c r="H824" s="2">
        <v>937.56126011267202</v>
      </c>
    </row>
    <row r="825" spans="1:8" x14ac:dyDescent="0.3">
      <c r="A825" t="s">
        <v>892</v>
      </c>
      <c r="B825" t="s">
        <v>60</v>
      </c>
      <c r="C825">
        <v>32</v>
      </c>
      <c r="D825" t="s">
        <v>10</v>
      </c>
      <c r="E825" t="str">
        <f ca="1">IF(Table1[[#This Row],[is_smoker]]=0,"non-smoker","smoker")</f>
        <v>non-smoker</v>
      </c>
      <c r="F825" t="s">
        <v>44</v>
      </c>
      <c r="G825" s="2">
        <v>1.1341463414634101</v>
      </c>
      <c r="H825" s="2">
        <v>1136.6918746680101</v>
      </c>
    </row>
    <row r="826" spans="1:8" x14ac:dyDescent="0.3">
      <c r="A826" t="s">
        <v>893</v>
      </c>
      <c r="B826" t="s">
        <v>13</v>
      </c>
      <c r="C826">
        <v>49</v>
      </c>
      <c r="D826" t="s">
        <v>17</v>
      </c>
      <c r="E826" t="str">
        <f ca="1">IF(Table1[[#This Row],[is_smoker]]=0,"non-smoker","smoker")</f>
        <v>non-smoker</v>
      </c>
      <c r="F826" t="s">
        <v>14</v>
      </c>
      <c r="G826" s="2">
        <v>0.66666666666666596</v>
      </c>
      <c r="H826" s="2">
        <v>1703.9746772922899</v>
      </c>
    </row>
    <row r="827" spans="1:8" x14ac:dyDescent="0.3">
      <c r="A827" t="s">
        <v>894</v>
      </c>
      <c r="B827" t="s">
        <v>29</v>
      </c>
      <c r="C827">
        <v>55</v>
      </c>
      <c r="D827" t="s">
        <v>10</v>
      </c>
      <c r="E827" t="str">
        <f ca="1">IF(Table1[[#This Row],[is_smoker]]=0,"non-smoker","smoker")</f>
        <v>non-smoker</v>
      </c>
      <c r="F827" t="s">
        <v>24</v>
      </c>
      <c r="G827" s="2">
        <v>1.70325203252032</v>
      </c>
      <c r="H827" s="2">
        <v>1449.0077575687101</v>
      </c>
    </row>
    <row r="828" spans="1:8" x14ac:dyDescent="0.3">
      <c r="A828" t="s">
        <v>895</v>
      </c>
      <c r="B828" t="s">
        <v>50</v>
      </c>
      <c r="C828">
        <v>33</v>
      </c>
      <c r="D828" t="s">
        <v>17</v>
      </c>
      <c r="E828" t="str">
        <f ca="1">IF(Table1[[#This Row],[is_smoker]]=0,"non-smoker","smoker")</f>
        <v>non-smoker</v>
      </c>
      <c r="F828" t="s">
        <v>48</v>
      </c>
      <c r="G828" s="2">
        <v>0.46341463414634099</v>
      </c>
      <c r="H828" s="2">
        <v>1327.5227079751201</v>
      </c>
    </row>
    <row r="829" spans="1:8" x14ac:dyDescent="0.3">
      <c r="A829" s="1" t="s">
        <v>896</v>
      </c>
      <c r="B829" t="s">
        <v>178</v>
      </c>
      <c r="C829">
        <v>23</v>
      </c>
      <c r="D829" t="s">
        <v>17</v>
      </c>
      <c r="E829" t="str">
        <f ca="1">IF(Table1[[#This Row],[is_smoker]]=0,"non-smoker","smoker")</f>
        <v>non-smoker</v>
      </c>
      <c r="F829" t="s">
        <v>2004</v>
      </c>
      <c r="G829" s="2">
        <v>1.2073170731707299</v>
      </c>
      <c r="H829" s="2">
        <v>3714.0025147023298</v>
      </c>
    </row>
    <row r="830" spans="1:8" x14ac:dyDescent="0.3">
      <c r="A830" s="1" t="s">
        <v>897</v>
      </c>
      <c r="B830" t="s">
        <v>35</v>
      </c>
      <c r="C830">
        <v>51</v>
      </c>
      <c r="D830" t="s">
        <v>17</v>
      </c>
      <c r="E830" t="str">
        <f ca="1">IF(Table1[[#This Row],[is_smoker]]=0,"non-smoker","smoker")</f>
        <v>non-smoker</v>
      </c>
      <c r="F830" t="s">
        <v>44</v>
      </c>
      <c r="G830" s="2">
        <v>1.1341463414634101</v>
      </c>
      <c r="H830" s="2">
        <v>2857.81271591425</v>
      </c>
    </row>
    <row r="831" spans="1:8" x14ac:dyDescent="0.3">
      <c r="A831" s="1" t="s">
        <v>898</v>
      </c>
      <c r="B831" t="s">
        <v>201</v>
      </c>
      <c r="C831">
        <v>56</v>
      </c>
      <c r="D831" t="s">
        <v>10</v>
      </c>
      <c r="E831" t="str">
        <f ca="1">IF(Table1[[#This Row],[is_smoker]]=0,"non-smoker","smoker")</f>
        <v>non-smoker</v>
      </c>
      <c r="F831" t="s">
        <v>19</v>
      </c>
      <c r="G831" s="2">
        <v>1.11788617886178</v>
      </c>
      <c r="H831" s="2">
        <v>944.26635947842999</v>
      </c>
    </row>
    <row r="832" spans="1:8" x14ac:dyDescent="0.3">
      <c r="A832" t="s">
        <v>899</v>
      </c>
      <c r="B832" t="s">
        <v>113</v>
      </c>
      <c r="C832">
        <v>56</v>
      </c>
      <c r="D832" t="s">
        <v>17</v>
      </c>
      <c r="E832" t="str">
        <f ca="1">IF(Table1[[#This Row],[is_smoker]]=0,"non-smoker","smoker")</f>
        <v>non-smoker</v>
      </c>
      <c r="F832" t="s">
        <v>61</v>
      </c>
      <c r="G832" s="2">
        <v>1.61788617886178</v>
      </c>
      <c r="H832" s="2">
        <v>3934.0358632329198</v>
      </c>
    </row>
    <row r="833" spans="1:8" x14ac:dyDescent="0.3">
      <c r="A833" t="s">
        <v>900</v>
      </c>
      <c r="B833" t="s">
        <v>82</v>
      </c>
      <c r="C833">
        <v>22</v>
      </c>
      <c r="D833" t="s">
        <v>17</v>
      </c>
      <c r="E833" t="str">
        <f ca="1">IF(Table1[[#This Row],[is_smoker]]=0,"non-smoker","smoker")</f>
        <v>non-smoker</v>
      </c>
      <c r="F833" t="s">
        <v>56</v>
      </c>
      <c r="G833" s="2">
        <v>0.19512195121951201</v>
      </c>
      <c r="H833" s="2">
        <v>604.53555049965701</v>
      </c>
    </row>
    <row r="834" spans="1:8" x14ac:dyDescent="0.3">
      <c r="A834" t="s">
        <v>901</v>
      </c>
      <c r="B834" t="s">
        <v>229</v>
      </c>
      <c r="C834">
        <v>42</v>
      </c>
      <c r="D834" t="s">
        <v>17</v>
      </c>
      <c r="E834" t="str">
        <f ca="1">IF(Table1[[#This Row],[is_smoker]]=0,"non-smoker","smoker")</f>
        <v>non-smoker</v>
      </c>
      <c r="F834" t="s">
        <v>19</v>
      </c>
      <c r="G834" s="2">
        <v>1.11788617886178</v>
      </c>
      <c r="H834" s="2">
        <v>3003.4197203674798</v>
      </c>
    </row>
    <row r="835" spans="1:8" x14ac:dyDescent="0.3">
      <c r="A835" t="s">
        <v>902</v>
      </c>
      <c r="B835" t="s">
        <v>60</v>
      </c>
      <c r="C835">
        <v>64</v>
      </c>
      <c r="D835" t="s">
        <v>10</v>
      </c>
      <c r="E835" t="str">
        <f ca="1">IF(Table1[[#This Row],[is_smoker]]=0,"non-smoker","smoker")</f>
        <v>non-smoker</v>
      </c>
      <c r="F835" t="s">
        <v>44</v>
      </c>
      <c r="G835" s="2">
        <v>1.1341463414634101</v>
      </c>
      <c r="H835" s="2">
        <v>904.91360506194599</v>
      </c>
    </row>
    <row r="836" spans="1:8" x14ac:dyDescent="0.3">
      <c r="A836" t="s">
        <v>903</v>
      </c>
      <c r="B836" t="s">
        <v>13</v>
      </c>
      <c r="C836">
        <v>38</v>
      </c>
      <c r="D836" t="s">
        <v>10</v>
      </c>
      <c r="E836" t="str">
        <f ca="1">IF(Table1[[#This Row],[is_smoker]]=0,"non-smoker","smoker")</f>
        <v>non-smoker</v>
      </c>
      <c r="F836" t="s">
        <v>19</v>
      </c>
      <c r="G836" s="2">
        <v>1.11788617886178</v>
      </c>
      <c r="H836" s="2">
        <v>1073.50003771821</v>
      </c>
    </row>
    <row r="837" spans="1:8" x14ac:dyDescent="0.3">
      <c r="A837" t="s">
        <v>904</v>
      </c>
      <c r="B837" t="s">
        <v>60</v>
      </c>
      <c r="C837">
        <v>24</v>
      </c>
      <c r="D837" t="s">
        <v>17</v>
      </c>
      <c r="E837" t="str">
        <f ca="1">IF(Table1[[#This Row],[is_smoker]]=0,"non-smoker","smoker")</f>
        <v>smoker</v>
      </c>
      <c r="F837" t="s">
        <v>44</v>
      </c>
      <c r="G837" s="2">
        <v>1.1341463414634101</v>
      </c>
      <c r="H837" s="2">
        <v>3720.16922537764</v>
      </c>
    </row>
    <row r="838" spans="1:8" x14ac:dyDescent="0.3">
      <c r="A838" t="s">
        <v>905</v>
      </c>
      <c r="B838" t="s">
        <v>43</v>
      </c>
      <c r="C838">
        <v>20</v>
      </c>
      <c r="D838" t="s">
        <v>17</v>
      </c>
      <c r="E838" t="str">
        <f ca="1">IF(Table1[[#This Row],[is_smoker]]=0,"non-smoker","smoker")</f>
        <v>non-smoker</v>
      </c>
      <c r="F838" t="s">
        <v>44</v>
      </c>
      <c r="G838" s="2">
        <v>1.1341463414634101</v>
      </c>
      <c r="H838" s="2">
        <v>3564.3023625143401</v>
      </c>
    </row>
    <row r="839" spans="1:8" x14ac:dyDescent="0.3">
      <c r="A839" t="s">
        <v>906</v>
      </c>
      <c r="B839" t="s">
        <v>113</v>
      </c>
      <c r="C839">
        <v>62</v>
      </c>
      <c r="D839" t="s">
        <v>17</v>
      </c>
      <c r="E839" t="str">
        <f ca="1">IF(Table1[[#This Row],[is_smoker]]=0,"non-smoker","smoker")</f>
        <v>non-smoker</v>
      </c>
      <c r="F839" t="s">
        <v>11</v>
      </c>
      <c r="G839" s="2">
        <v>1.1544715447154399</v>
      </c>
      <c r="H839" s="2">
        <v>2689.7034533502001</v>
      </c>
    </row>
    <row r="840" spans="1:8" x14ac:dyDescent="0.3">
      <c r="A840" t="s">
        <v>907</v>
      </c>
      <c r="B840" t="s">
        <v>113</v>
      </c>
      <c r="C840">
        <v>22</v>
      </c>
      <c r="D840" t="s">
        <v>10</v>
      </c>
      <c r="E840" t="str">
        <f ca="1">IF(Table1[[#This Row],[is_smoker]]=0,"non-smoker","smoker")</f>
        <v>non-smoker</v>
      </c>
      <c r="F840" t="s">
        <v>14</v>
      </c>
      <c r="G840" s="2">
        <v>0.66666666666666596</v>
      </c>
      <c r="H840" s="2">
        <v>717.51508678883795</v>
      </c>
    </row>
    <row r="841" spans="1:8" x14ac:dyDescent="0.3">
      <c r="A841" t="s">
        <v>908</v>
      </c>
      <c r="B841" t="s">
        <v>50</v>
      </c>
      <c r="C841">
        <v>37</v>
      </c>
      <c r="D841" t="s">
        <v>10</v>
      </c>
      <c r="E841" t="str">
        <f ca="1">IF(Table1[[#This Row],[is_smoker]]=0,"non-smoker","smoker")</f>
        <v>non-smoker</v>
      </c>
      <c r="F841" t="s">
        <v>2004</v>
      </c>
      <c r="G841" s="2">
        <v>1.2073170731707299</v>
      </c>
      <c r="H841" s="2">
        <v>1167.67150787123</v>
      </c>
    </row>
    <row r="842" spans="1:8" x14ac:dyDescent="0.3">
      <c r="A842" t="s">
        <v>909</v>
      </c>
      <c r="B842" t="s">
        <v>60</v>
      </c>
      <c r="C842">
        <v>39</v>
      </c>
      <c r="D842" t="s">
        <v>10</v>
      </c>
      <c r="E842" t="str">
        <f ca="1">IF(Table1[[#This Row],[is_smoker]]=0,"non-smoker","smoker")</f>
        <v>non-smoker</v>
      </c>
      <c r="F842" t="s">
        <v>11</v>
      </c>
      <c r="G842" s="2">
        <v>1.1544715447154399</v>
      </c>
      <c r="H842" s="2">
        <v>1100.7605246877099</v>
      </c>
    </row>
    <row r="843" spans="1:8" x14ac:dyDescent="0.3">
      <c r="A843" t="s">
        <v>910</v>
      </c>
      <c r="B843" t="s">
        <v>113</v>
      </c>
      <c r="C843">
        <v>57</v>
      </c>
      <c r="D843" t="s">
        <v>10</v>
      </c>
      <c r="E843" t="str">
        <f ca="1">IF(Table1[[#This Row],[is_smoker]]=0,"non-smoker","smoker")</f>
        <v>non-smoker</v>
      </c>
      <c r="F843" t="s">
        <v>61</v>
      </c>
      <c r="G843" s="2">
        <v>1.61788617886178</v>
      </c>
      <c r="H843" s="2">
        <v>1356.9068419085199</v>
      </c>
    </row>
    <row r="844" spans="1:8" x14ac:dyDescent="0.3">
      <c r="A844" t="s">
        <v>911</v>
      </c>
      <c r="B844" t="s">
        <v>31</v>
      </c>
      <c r="C844">
        <v>52</v>
      </c>
      <c r="D844" t="s">
        <v>10</v>
      </c>
      <c r="E844" t="str">
        <f ca="1">IF(Table1[[#This Row],[is_smoker]]=0,"non-smoker","smoker")</f>
        <v>non-smoker</v>
      </c>
      <c r="F844" t="s">
        <v>11</v>
      </c>
      <c r="G844" s="2">
        <v>1.1544715447154399</v>
      </c>
      <c r="H844" s="2">
        <v>1003.3665503879701</v>
      </c>
    </row>
    <row r="845" spans="1:8" x14ac:dyDescent="0.3">
      <c r="A845" t="s">
        <v>912</v>
      </c>
      <c r="B845" t="s">
        <v>170</v>
      </c>
      <c r="C845">
        <v>52</v>
      </c>
      <c r="D845" t="s">
        <v>17</v>
      </c>
      <c r="E845" t="str">
        <f ca="1">IF(Table1[[#This Row],[is_smoker]]=0,"non-smoker","smoker")</f>
        <v>non-smoker</v>
      </c>
      <c r="F845" t="s">
        <v>27</v>
      </c>
      <c r="G845" s="2">
        <v>0.53252032520325199</v>
      </c>
      <c r="H845" s="2">
        <v>1332.3121639610999</v>
      </c>
    </row>
    <row r="846" spans="1:8" x14ac:dyDescent="0.3">
      <c r="A846" t="s">
        <v>913</v>
      </c>
      <c r="B846" t="s">
        <v>13</v>
      </c>
      <c r="C846">
        <v>41</v>
      </c>
      <c r="D846" t="s">
        <v>17</v>
      </c>
      <c r="E846" t="str">
        <f ca="1">IF(Table1[[#This Row],[is_smoker]]=0,"non-smoker","smoker")</f>
        <v>non-smoker</v>
      </c>
      <c r="F846" t="s">
        <v>27</v>
      </c>
      <c r="G846" s="2">
        <v>0.53252032520325199</v>
      </c>
      <c r="H846" s="2">
        <v>1440.95193156965</v>
      </c>
    </row>
    <row r="847" spans="1:8" x14ac:dyDescent="0.3">
      <c r="A847" t="s">
        <v>914</v>
      </c>
      <c r="B847" t="s">
        <v>113</v>
      </c>
      <c r="C847">
        <v>52</v>
      </c>
      <c r="D847" t="s">
        <v>10</v>
      </c>
      <c r="E847" t="str">
        <f ca="1">IF(Table1[[#This Row],[is_smoker]]=0,"non-smoker","smoker")</f>
        <v>non-smoker</v>
      </c>
      <c r="F847" t="s">
        <v>2004</v>
      </c>
      <c r="G847" s="2">
        <v>1.2073170731707299</v>
      </c>
      <c r="H847" s="2">
        <v>1049.2953009339001</v>
      </c>
    </row>
    <row r="848" spans="1:8" x14ac:dyDescent="0.3">
      <c r="A848" t="s">
        <v>915</v>
      </c>
      <c r="B848" t="s">
        <v>33</v>
      </c>
      <c r="C848">
        <v>62</v>
      </c>
      <c r="D848" t="s">
        <v>10</v>
      </c>
      <c r="E848" t="str">
        <f ca="1">IF(Table1[[#This Row],[is_smoker]]=0,"non-smoker","smoker")</f>
        <v>non-smoker</v>
      </c>
      <c r="F848" t="s">
        <v>19</v>
      </c>
      <c r="G848" s="2">
        <v>1.11788617886178</v>
      </c>
      <c r="H848" s="2">
        <v>904.74321664858803</v>
      </c>
    </row>
    <row r="849" spans="1:8" x14ac:dyDescent="0.3">
      <c r="A849" t="s">
        <v>916</v>
      </c>
      <c r="B849" t="s">
        <v>50</v>
      </c>
      <c r="C849">
        <v>54</v>
      </c>
      <c r="D849" t="s">
        <v>10</v>
      </c>
      <c r="E849" t="str">
        <f ca="1">IF(Table1[[#This Row],[is_smoker]]=0,"non-smoker","smoker")</f>
        <v>non-smoker</v>
      </c>
      <c r="F849" t="s">
        <v>14</v>
      </c>
      <c r="G849" s="2">
        <v>0.66666666666666596</v>
      </c>
      <c r="H849" s="2">
        <v>571.20947051904795</v>
      </c>
    </row>
    <row r="850" spans="1:8" x14ac:dyDescent="0.3">
      <c r="A850" t="s">
        <v>917</v>
      </c>
      <c r="B850" t="s">
        <v>243</v>
      </c>
      <c r="C850">
        <v>39</v>
      </c>
      <c r="D850" t="s">
        <v>10</v>
      </c>
      <c r="E850" t="str">
        <f ca="1">IF(Table1[[#This Row],[is_smoker]]=0,"non-smoker","smoker")</f>
        <v>non-smoker</v>
      </c>
      <c r="F850" t="s">
        <v>2004</v>
      </c>
      <c r="G850" s="2">
        <v>1.2073170731707299</v>
      </c>
      <c r="H850" s="2">
        <v>1151.1474501135599</v>
      </c>
    </row>
    <row r="851" spans="1:8" x14ac:dyDescent="0.3">
      <c r="A851" t="s">
        <v>918</v>
      </c>
      <c r="B851" t="s">
        <v>584</v>
      </c>
      <c r="C851">
        <v>29</v>
      </c>
      <c r="D851" t="s">
        <v>17</v>
      </c>
      <c r="E851" t="str">
        <f ca="1">IF(Table1[[#This Row],[is_smoker]]=0,"non-smoker","smoker")</f>
        <v>non-smoker</v>
      </c>
      <c r="F851" t="s">
        <v>44</v>
      </c>
      <c r="G851" s="2">
        <v>1.1341463414634101</v>
      </c>
      <c r="H851" s="2">
        <v>3342.8798337352</v>
      </c>
    </row>
    <row r="852" spans="1:8" x14ac:dyDescent="0.3">
      <c r="A852" t="s">
        <v>919</v>
      </c>
      <c r="B852" t="s">
        <v>46</v>
      </c>
      <c r="C852">
        <v>36</v>
      </c>
      <c r="D852" t="s">
        <v>10</v>
      </c>
      <c r="E852" t="str">
        <f ca="1">IF(Table1[[#This Row],[is_smoker]]=0,"non-smoker","smoker")</f>
        <v>non-smoker</v>
      </c>
      <c r="F852" t="s">
        <v>48</v>
      </c>
      <c r="G852" s="2">
        <v>0.46341463414634099</v>
      </c>
      <c r="H852" s="2">
        <v>451.40248846651798</v>
      </c>
    </row>
    <row r="853" spans="1:8" x14ac:dyDescent="0.3">
      <c r="A853" t="s">
        <v>920</v>
      </c>
      <c r="B853" t="s">
        <v>33</v>
      </c>
      <c r="C853">
        <v>38</v>
      </c>
      <c r="D853" t="s">
        <v>17</v>
      </c>
      <c r="E853" t="str">
        <f ca="1">IF(Table1[[#This Row],[is_smoker]]=0,"non-smoker","smoker")</f>
        <v>non-smoker</v>
      </c>
      <c r="F853" t="s">
        <v>14</v>
      </c>
      <c r="G853" s="2">
        <v>0.66666666666666596</v>
      </c>
      <c r="H853" s="2">
        <v>1842.92065253695</v>
      </c>
    </row>
    <row r="854" spans="1:8" x14ac:dyDescent="0.3">
      <c r="A854" t="s">
        <v>921</v>
      </c>
      <c r="B854" t="s">
        <v>16</v>
      </c>
      <c r="C854">
        <v>40</v>
      </c>
      <c r="D854" t="s">
        <v>10</v>
      </c>
      <c r="E854" t="str">
        <f ca="1">IF(Table1[[#This Row],[is_smoker]]=0,"non-smoker","smoker")</f>
        <v>non-smoker</v>
      </c>
      <c r="F854" t="s">
        <v>14</v>
      </c>
      <c r="G854" s="2">
        <v>0.66666666666666596</v>
      </c>
      <c r="H854" s="2">
        <v>631.13678161862697</v>
      </c>
    </row>
    <row r="855" spans="1:8" x14ac:dyDescent="0.3">
      <c r="A855" t="s">
        <v>922</v>
      </c>
      <c r="B855" t="s">
        <v>63</v>
      </c>
      <c r="C855">
        <v>19</v>
      </c>
      <c r="D855" t="s">
        <v>17</v>
      </c>
      <c r="E855" t="str">
        <f ca="1">IF(Table1[[#This Row],[is_smoker]]=0,"non-smoker","smoker")</f>
        <v>smoker</v>
      </c>
      <c r="F855" t="s">
        <v>44</v>
      </c>
      <c r="G855" s="2">
        <v>1.1341463414634101</v>
      </c>
      <c r="H855" s="2">
        <v>3855.1121275023302</v>
      </c>
    </row>
    <row r="856" spans="1:8" x14ac:dyDescent="0.3">
      <c r="A856" t="s">
        <v>923</v>
      </c>
      <c r="B856" t="s">
        <v>50</v>
      </c>
      <c r="C856">
        <v>23</v>
      </c>
      <c r="D856" t="s">
        <v>10</v>
      </c>
      <c r="E856" t="str">
        <f ca="1">IF(Table1[[#This Row],[is_smoker]]=0,"non-smoker","smoker")</f>
        <v>non-smoker</v>
      </c>
      <c r="F856" t="s">
        <v>44</v>
      </c>
      <c r="G856" s="2">
        <v>1.1341463414634101</v>
      </c>
      <c r="H856" s="2">
        <v>1211.98300143594</v>
      </c>
    </row>
    <row r="857" spans="1:8" x14ac:dyDescent="0.3">
      <c r="A857" t="s">
        <v>924</v>
      </c>
      <c r="B857" t="s">
        <v>63</v>
      </c>
      <c r="C857">
        <v>42</v>
      </c>
      <c r="D857" t="s">
        <v>17</v>
      </c>
      <c r="E857" t="str">
        <f ca="1">IF(Table1[[#This Row],[is_smoker]]=0,"non-smoker","smoker")</f>
        <v>non-smoker</v>
      </c>
      <c r="F857" t="s">
        <v>56</v>
      </c>
      <c r="G857" s="2">
        <v>0.19512195121951201</v>
      </c>
      <c r="H857" s="2">
        <v>524.23326028232498</v>
      </c>
    </row>
    <row r="858" spans="1:8" x14ac:dyDescent="0.3">
      <c r="A858" t="s">
        <v>925</v>
      </c>
      <c r="B858" t="s">
        <v>16</v>
      </c>
      <c r="C858">
        <v>29</v>
      </c>
      <c r="D858" t="s">
        <v>10</v>
      </c>
      <c r="E858" t="str">
        <f ca="1">IF(Table1[[#This Row],[is_smoker]]=0,"non-smoker","smoker")</f>
        <v>non-smoker</v>
      </c>
      <c r="F858" t="s">
        <v>2004</v>
      </c>
      <c r="G858" s="2">
        <v>1.2073170731707299</v>
      </c>
      <c r="H858" s="2">
        <v>1236.1739648980199</v>
      </c>
    </row>
    <row r="859" spans="1:8" x14ac:dyDescent="0.3">
      <c r="A859" t="s">
        <v>926</v>
      </c>
      <c r="B859" t="s">
        <v>60</v>
      </c>
      <c r="C859">
        <v>59</v>
      </c>
      <c r="D859" t="s">
        <v>10</v>
      </c>
      <c r="E859" t="str">
        <f ca="1">IF(Table1[[#This Row],[is_smoker]]=0,"non-smoker","smoker")</f>
        <v>non-smoker</v>
      </c>
      <c r="F859" t="s">
        <v>44</v>
      </c>
      <c r="G859" s="2">
        <v>1.1341463414634101</v>
      </c>
      <c r="H859" s="2">
        <v>937.737829080084</v>
      </c>
    </row>
    <row r="860" spans="1:8" x14ac:dyDescent="0.3">
      <c r="A860" t="s">
        <v>927</v>
      </c>
      <c r="B860" t="s">
        <v>60</v>
      </c>
      <c r="C860">
        <v>18</v>
      </c>
      <c r="D860" t="s">
        <v>17</v>
      </c>
      <c r="E860" t="str">
        <f ca="1">IF(Table1[[#This Row],[is_smoker]]=0,"non-smoker","smoker")</f>
        <v>non-smoker</v>
      </c>
      <c r="F860" t="s">
        <v>27</v>
      </c>
      <c r="G860" s="2">
        <v>0.53252032520325199</v>
      </c>
      <c r="H860" s="2">
        <v>1697.5843319707501</v>
      </c>
    </row>
    <row r="861" spans="1:8" x14ac:dyDescent="0.3">
      <c r="A861" t="s">
        <v>928</v>
      </c>
      <c r="B861" t="s">
        <v>157</v>
      </c>
      <c r="C861">
        <v>32</v>
      </c>
      <c r="D861" t="s">
        <v>10</v>
      </c>
      <c r="E861" t="str">
        <f ca="1">IF(Table1[[#This Row],[is_smoker]]=0,"non-smoker","smoker")</f>
        <v>non-smoker</v>
      </c>
      <c r="F861" t="s">
        <v>61</v>
      </c>
      <c r="G861" s="2">
        <v>1.61788617886178</v>
      </c>
      <c r="H861" s="2">
        <v>1621.51744128269</v>
      </c>
    </row>
    <row r="862" spans="1:8" x14ac:dyDescent="0.3">
      <c r="A862" t="s">
        <v>929</v>
      </c>
      <c r="B862" t="s">
        <v>37</v>
      </c>
      <c r="C862">
        <v>54</v>
      </c>
      <c r="D862" t="s">
        <v>10</v>
      </c>
      <c r="E862" t="str">
        <f ca="1">IF(Table1[[#This Row],[is_smoker]]=0,"non-smoker","smoker")</f>
        <v>non-smoker</v>
      </c>
      <c r="F862" t="s">
        <v>48</v>
      </c>
      <c r="G862" s="2">
        <v>0.46341463414634099</v>
      </c>
      <c r="H862" s="2">
        <v>397.06024170226499</v>
      </c>
    </row>
    <row r="863" spans="1:8" x14ac:dyDescent="0.3">
      <c r="A863" t="s">
        <v>930</v>
      </c>
      <c r="B863" t="s">
        <v>178</v>
      </c>
      <c r="C863">
        <v>52</v>
      </c>
      <c r="D863" t="s">
        <v>10</v>
      </c>
      <c r="E863" t="str">
        <f ca="1">IF(Table1[[#This Row],[is_smoker]]=0,"non-smoker","smoker")</f>
        <v>non-smoker</v>
      </c>
      <c r="F863" t="s">
        <v>2004</v>
      </c>
      <c r="G863" s="2">
        <v>1.2073170731707299</v>
      </c>
      <c r="H863" s="2">
        <v>1049.2953009339001</v>
      </c>
    </row>
    <row r="864" spans="1:8" x14ac:dyDescent="0.3">
      <c r="A864" t="s">
        <v>931</v>
      </c>
      <c r="B864" t="s">
        <v>43</v>
      </c>
      <c r="C864">
        <v>42</v>
      </c>
      <c r="D864" t="s">
        <v>17</v>
      </c>
      <c r="E864" t="str">
        <f ca="1">IF(Table1[[#This Row],[is_smoker]]=0,"non-smoker","smoker")</f>
        <v>non-smoker</v>
      </c>
      <c r="F864" t="s">
        <v>24</v>
      </c>
      <c r="G864" s="2">
        <v>1.70325203252032</v>
      </c>
      <c r="H864" s="2">
        <v>4576.1195012144599</v>
      </c>
    </row>
    <row r="865" spans="1:8" x14ac:dyDescent="0.3">
      <c r="A865" t="s">
        <v>932</v>
      </c>
      <c r="B865" t="s">
        <v>16</v>
      </c>
      <c r="C865">
        <v>53</v>
      </c>
      <c r="D865" t="s">
        <v>10</v>
      </c>
      <c r="E865" t="str">
        <f ca="1">IF(Table1[[#This Row],[is_smoker]]=0,"non-smoker","smoker")</f>
        <v>non-smoker</v>
      </c>
      <c r="F865" t="s">
        <v>27</v>
      </c>
      <c r="G865" s="2">
        <v>0.53252032520325199</v>
      </c>
      <c r="H865" s="2">
        <v>459.53406468215002</v>
      </c>
    </row>
    <row r="866" spans="1:8" x14ac:dyDescent="0.3">
      <c r="A866" t="s">
        <v>933</v>
      </c>
      <c r="B866" t="s">
        <v>82</v>
      </c>
      <c r="C866">
        <v>22</v>
      </c>
      <c r="D866" t="s">
        <v>10</v>
      </c>
      <c r="E866" t="str">
        <f ca="1">IF(Table1[[#This Row],[is_smoker]]=0,"non-smoker","smoker")</f>
        <v>non-smoker</v>
      </c>
      <c r="F866" t="s">
        <v>19</v>
      </c>
      <c r="G866" s="2">
        <v>1.11788617886178</v>
      </c>
      <c r="H866" s="2">
        <v>1203.1502979690799</v>
      </c>
    </row>
    <row r="867" spans="1:8" x14ac:dyDescent="0.3">
      <c r="A867" t="s">
        <v>934</v>
      </c>
      <c r="B867" t="s">
        <v>29</v>
      </c>
      <c r="C867">
        <v>19</v>
      </c>
      <c r="D867" t="s">
        <v>17</v>
      </c>
      <c r="E867" t="str">
        <f ca="1">IF(Table1[[#This Row],[is_smoker]]=0,"non-smoker","smoker")</f>
        <v>non-smoker</v>
      </c>
      <c r="F867" t="s">
        <v>44</v>
      </c>
      <c r="G867" s="2">
        <v>1.1341463414634101</v>
      </c>
      <c r="H867" s="2">
        <v>3589.7929651309501</v>
      </c>
    </row>
    <row r="868" spans="1:8" x14ac:dyDescent="0.3">
      <c r="A868" s="1" t="s">
        <v>935</v>
      </c>
      <c r="B868" t="s">
        <v>85</v>
      </c>
      <c r="C868">
        <v>49</v>
      </c>
      <c r="D868" t="s">
        <v>10</v>
      </c>
      <c r="E868" t="str">
        <f ca="1">IF(Table1[[#This Row],[is_smoker]]=0,"non-smoker","smoker")</f>
        <v>non-smoker</v>
      </c>
      <c r="F868" t="s">
        <v>24</v>
      </c>
      <c r="G868" s="2">
        <v>1.70325203252032</v>
      </c>
      <c r="H868" s="2">
        <v>1512.30675722971</v>
      </c>
    </row>
    <row r="869" spans="1:8" x14ac:dyDescent="0.3">
      <c r="A869" t="s">
        <v>936</v>
      </c>
      <c r="B869" t="s">
        <v>113</v>
      </c>
      <c r="C869">
        <v>34</v>
      </c>
      <c r="D869" t="s">
        <v>17</v>
      </c>
      <c r="E869" t="str">
        <f ca="1">IF(Table1[[#This Row],[is_smoker]]=0,"non-smoker","smoker")</f>
        <v>non-smoker</v>
      </c>
      <c r="F869" t="s">
        <v>44</v>
      </c>
      <c r="G869" s="2">
        <v>1.1341463414634101</v>
      </c>
      <c r="H869" s="2">
        <v>3225.8669191171698</v>
      </c>
    </row>
    <row r="870" spans="1:8" x14ac:dyDescent="0.3">
      <c r="A870" t="s">
        <v>937</v>
      </c>
      <c r="B870" t="s">
        <v>938</v>
      </c>
      <c r="C870">
        <v>41</v>
      </c>
      <c r="D870" t="s">
        <v>17</v>
      </c>
      <c r="E870" t="str">
        <f ca="1">IF(Table1[[#This Row],[is_smoker]]=0,"non-smoker","smoker")</f>
        <v>non-smoker</v>
      </c>
      <c r="F870" t="s">
        <v>14</v>
      </c>
      <c r="G870" s="2">
        <v>0.66666666666666596</v>
      </c>
      <c r="H870" s="2">
        <v>1803.93982272841</v>
      </c>
    </row>
    <row r="871" spans="1:8" x14ac:dyDescent="0.3">
      <c r="A871" t="s">
        <v>939</v>
      </c>
      <c r="B871" t="s">
        <v>23</v>
      </c>
      <c r="C871">
        <v>53</v>
      </c>
      <c r="D871" t="s">
        <v>10</v>
      </c>
      <c r="E871" t="str">
        <f ca="1">IF(Table1[[#This Row],[is_smoker]]=0,"non-smoker","smoker")</f>
        <v>non-smoker</v>
      </c>
      <c r="F871" t="s">
        <v>27</v>
      </c>
      <c r="G871" s="2">
        <v>0.53252032520325199</v>
      </c>
      <c r="H871" s="2">
        <v>459.53406468215002</v>
      </c>
    </row>
    <row r="872" spans="1:8" x14ac:dyDescent="0.3">
      <c r="A872" t="s">
        <v>940</v>
      </c>
      <c r="B872" t="s">
        <v>60</v>
      </c>
      <c r="C872">
        <v>44</v>
      </c>
      <c r="D872" t="s">
        <v>10</v>
      </c>
      <c r="E872" t="str">
        <f ca="1">IF(Table1[[#This Row],[is_smoker]]=0,"non-smoker","smoker")</f>
        <v>non-smoker</v>
      </c>
      <c r="F872" t="s">
        <v>14</v>
      </c>
      <c r="G872" s="2">
        <v>0.66666666666666596</v>
      </c>
      <c r="H872" s="2">
        <v>613.40037359173596</v>
      </c>
    </row>
    <row r="873" spans="1:8" x14ac:dyDescent="0.3">
      <c r="A873" t="s">
        <v>941</v>
      </c>
      <c r="B873" t="s">
        <v>82</v>
      </c>
      <c r="C873">
        <v>26</v>
      </c>
      <c r="D873" t="s">
        <v>17</v>
      </c>
      <c r="E873" t="str">
        <f ca="1">IF(Table1[[#This Row],[is_smoker]]=0,"non-smoker","smoker")</f>
        <v>non-smoker</v>
      </c>
      <c r="F873" t="s">
        <v>56</v>
      </c>
      <c r="G873" s="2">
        <v>0.19512195121951201</v>
      </c>
      <c r="H873" s="2">
        <v>587.54669879159405</v>
      </c>
    </row>
    <row r="874" spans="1:8" x14ac:dyDescent="0.3">
      <c r="A874" t="s">
        <v>942</v>
      </c>
      <c r="B874" t="s">
        <v>37</v>
      </c>
      <c r="C874">
        <v>23</v>
      </c>
      <c r="D874" t="s">
        <v>10</v>
      </c>
      <c r="E874" t="str">
        <f ca="1">IF(Table1[[#This Row],[is_smoker]]=0,"non-smoker","smoker")</f>
        <v>non-smoker</v>
      </c>
      <c r="F874" t="s">
        <v>14</v>
      </c>
      <c r="G874" s="2">
        <v>0.66666666666666596</v>
      </c>
      <c r="H874" s="2">
        <v>712.42011553940495</v>
      </c>
    </row>
    <row r="875" spans="1:8" x14ac:dyDescent="0.3">
      <c r="A875" t="s">
        <v>943</v>
      </c>
      <c r="B875" t="s">
        <v>13</v>
      </c>
      <c r="C875">
        <v>53</v>
      </c>
      <c r="D875" t="s">
        <v>10</v>
      </c>
      <c r="E875" t="str">
        <f ca="1">IF(Table1[[#This Row],[is_smoker]]=0,"non-smoker","smoker")</f>
        <v>non-smoker</v>
      </c>
      <c r="F875" t="s">
        <v>56</v>
      </c>
      <c r="G875" s="2">
        <v>0.19512195121951201</v>
      </c>
      <c r="H875" s="2">
        <v>168.37889392933701</v>
      </c>
    </row>
    <row r="876" spans="1:8" x14ac:dyDescent="0.3">
      <c r="A876" t="s">
        <v>944</v>
      </c>
      <c r="B876" t="s">
        <v>113</v>
      </c>
      <c r="C876">
        <v>29</v>
      </c>
      <c r="D876" t="s">
        <v>10</v>
      </c>
      <c r="E876" t="str">
        <f ca="1">IF(Table1[[#This Row],[is_smoker]]=0,"non-smoker","smoker")</f>
        <v>non-smoker</v>
      </c>
      <c r="F876" t="s">
        <v>56</v>
      </c>
      <c r="G876" s="2">
        <v>0.19512195121951201</v>
      </c>
      <c r="H876" s="2">
        <v>199.78569129665101</v>
      </c>
    </row>
    <row r="877" spans="1:8" x14ac:dyDescent="0.3">
      <c r="A877" t="s">
        <v>945</v>
      </c>
      <c r="B877" t="s">
        <v>113</v>
      </c>
      <c r="C877">
        <v>46</v>
      </c>
      <c r="D877" t="s">
        <v>10</v>
      </c>
      <c r="E877" t="str">
        <f ca="1">IF(Table1[[#This Row],[is_smoker]]=0,"non-smoker","smoker")</f>
        <v>non-smoker</v>
      </c>
      <c r="F877" t="s">
        <v>24</v>
      </c>
      <c r="G877" s="2">
        <v>1.70325203252032</v>
      </c>
      <c r="H877" s="2">
        <v>1544.98576989916</v>
      </c>
    </row>
    <row r="878" spans="1:8" x14ac:dyDescent="0.3">
      <c r="A878" t="s">
        <v>946</v>
      </c>
      <c r="B878" t="s">
        <v>201</v>
      </c>
      <c r="C878">
        <v>35</v>
      </c>
      <c r="D878" t="s">
        <v>10</v>
      </c>
      <c r="E878" t="str">
        <f ca="1">IF(Table1[[#This Row],[is_smoker]]=0,"non-smoker","smoker")</f>
        <v>non-smoker</v>
      </c>
      <c r="F878" t="s">
        <v>44</v>
      </c>
      <c r="G878" s="2">
        <v>1.1341463414634101</v>
      </c>
      <c r="H878" s="2">
        <v>1112.6489553756501</v>
      </c>
    </row>
    <row r="879" spans="1:8" x14ac:dyDescent="0.3">
      <c r="A879" t="s">
        <v>947</v>
      </c>
      <c r="B879" t="s">
        <v>113</v>
      </c>
      <c r="C879">
        <v>31</v>
      </c>
      <c r="D879" t="s">
        <v>10</v>
      </c>
      <c r="E879" t="str">
        <f ca="1">IF(Table1[[#This Row],[is_smoker]]=0,"non-smoker","smoker")</f>
        <v>non-smoker</v>
      </c>
      <c r="F879" t="s">
        <v>19</v>
      </c>
      <c r="G879" s="2">
        <v>1.11788617886178</v>
      </c>
      <c r="H879" s="2">
        <v>1128.40787872894</v>
      </c>
    </row>
    <row r="880" spans="1:8" x14ac:dyDescent="0.3">
      <c r="A880" t="s">
        <v>948</v>
      </c>
      <c r="B880" t="s">
        <v>113</v>
      </c>
      <c r="C880">
        <v>41</v>
      </c>
      <c r="D880" t="s">
        <v>10</v>
      </c>
      <c r="E880" t="str">
        <f ca="1">IF(Table1[[#This Row],[is_smoker]]=0,"non-smoker","smoker")</f>
        <v>non-smoker</v>
      </c>
      <c r="F880" t="s">
        <v>14</v>
      </c>
      <c r="G880" s="2">
        <v>0.66666666666666596</v>
      </c>
      <c r="H880" s="2">
        <v>626.65517026854695</v>
      </c>
    </row>
    <row r="881" spans="1:8" x14ac:dyDescent="0.3">
      <c r="A881" t="s">
        <v>949</v>
      </c>
      <c r="B881" t="s">
        <v>13</v>
      </c>
      <c r="C881">
        <v>27</v>
      </c>
      <c r="D881" t="s">
        <v>10</v>
      </c>
      <c r="E881" t="str">
        <f ca="1">IF(Table1[[#This Row],[is_smoker]]=0,"non-smoker","smoker")</f>
        <v>non-smoker</v>
      </c>
      <c r="F881" t="s">
        <v>27</v>
      </c>
      <c r="G881" s="2">
        <v>0.53252032520325199</v>
      </c>
      <c r="H881" s="2">
        <v>553.07517619633404</v>
      </c>
    </row>
    <row r="882" spans="1:8" x14ac:dyDescent="0.3">
      <c r="A882" t="s">
        <v>950</v>
      </c>
      <c r="B882" t="s">
        <v>23</v>
      </c>
      <c r="C882">
        <v>29</v>
      </c>
      <c r="D882" t="s">
        <v>17</v>
      </c>
      <c r="E882" t="str">
        <f ca="1">IF(Table1[[#This Row],[is_smoker]]=0,"non-smoker","smoker")</f>
        <v>non-smoker</v>
      </c>
      <c r="F882" t="s">
        <v>56</v>
      </c>
      <c r="G882" s="2">
        <v>0.19512195121951201</v>
      </c>
      <c r="H882" s="2">
        <v>575.11911118025</v>
      </c>
    </row>
    <row r="883" spans="1:8" x14ac:dyDescent="0.3">
      <c r="A883" t="s">
        <v>951</v>
      </c>
      <c r="B883" t="s">
        <v>110</v>
      </c>
      <c r="C883">
        <v>47</v>
      </c>
      <c r="D883" t="s">
        <v>17</v>
      </c>
      <c r="E883" t="str">
        <f ca="1">IF(Table1[[#This Row],[is_smoker]]=0,"non-smoker","smoker")</f>
        <v>non-smoker</v>
      </c>
      <c r="F883" t="s">
        <v>44</v>
      </c>
      <c r="G883" s="2">
        <v>1.1341463414634101</v>
      </c>
      <c r="H883" s="2">
        <v>2940.4460734668201</v>
      </c>
    </row>
    <row r="884" spans="1:8" x14ac:dyDescent="0.3">
      <c r="A884" t="s">
        <v>952</v>
      </c>
      <c r="B884" t="s">
        <v>63</v>
      </c>
      <c r="C884">
        <v>18</v>
      </c>
      <c r="D884" t="s">
        <v>17</v>
      </c>
      <c r="E884" t="str">
        <f ca="1">IF(Table1[[#This Row],[is_smoker]]=0,"non-smoker","smoker")</f>
        <v>smoker</v>
      </c>
      <c r="F884" t="s">
        <v>48</v>
      </c>
      <c r="G884" s="2">
        <v>0.46341463414634099</v>
      </c>
      <c r="H884" s="2">
        <v>1586.4724179167999</v>
      </c>
    </row>
    <row r="885" spans="1:8" x14ac:dyDescent="0.3">
      <c r="A885" t="s">
        <v>953</v>
      </c>
      <c r="B885" t="s">
        <v>113</v>
      </c>
      <c r="C885">
        <v>46</v>
      </c>
      <c r="D885" t="s">
        <v>17</v>
      </c>
      <c r="E885" t="str">
        <f ca="1">IF(Table1[[#This Row],[is_smoker]]=0,"non-smoker","smoker")</f>
        <v>non-smoker</v>
      </c>
      <c r="F885" t="s">
        <v>2004</v>
      </c>
      <c r="G885" s="2">
        <v>1.2073170731707299</v>
      </c>
      <c r="H885" s="2">
        <v>3152.5379897928301</v>
      </c>
    </row>
    <row r="886" spans="1:8" x14ac:dyDescent="0.3">
      <c r="A886" t="s">
        <v>954</v>
      </c>
      <c r="B886" t="s">
        <v>113</v>
      </c>
      <c r="C886">
        <v>50</v>
      </c>
      <c r="D886" t="s">
        <v>17</v>
      </c>
      <c r="E886" t="str">
        <f ca="1">IF(Table1[[#This Row],[is_smoker]]=0,"non-smoker","smoker")</f>
        <v>non-smoker</v>
      </c>
      <c r="F886" t="s">
        <v>24</v>
      </c>
      <c r="G886" s="2">
        <v>1.70325203252032</v>
      </c>
      <c r="H886" s="2">
        <v>4322.5342952622595</v>
      </c>
    </row>
    <row r="887" spans="1:8" x14ac:dyDescent="0.3">
      <c r="A887" t="s">
        <v>955</v>
      </c>
      <c r="B887" t="s">
        <v>170</v>
      </c>
      <c r="C887">
        <v>44</v>
      </c>
      <c r="D887" t="s">
        <v>17</v>
      </c>
      <c r="E887" t="str">
        <f ca="1">IF(Table1[[#This Row],[is_smoker]]=0,"non-smoker","smoker")</f>
        <v>non-smoker</v>
      </c>
      <c r="F887" t="s">
        <v>19</v>
      </c>
      <c r="G887" s="2">
        <v>1.11788617886178</v>
      </c>
      <c r="H887" s="2">
        <v>2960.91745787728</v>
      </c>
    </row>
    <row r="888" spans="1:8" x14ac:dyDescent="0.3">
      <c r="A888" t="s">
        <v>956</v>
      </c>
      <c r="B888" t="s">
        <v>31</v>
      </c>
      <c r="C888">
        <v>46</v>
      </c>
      <c r="D888" t="s">
        <v>10</v>
      </c>
      <c r="E888" t="str">
        <f ca="1">IF(Table1[[#This Row],[is_smoker]]=0,"non-smoker","smoker")</f>
        <v>non-smoker</v>
      </c>
      <c r="F888" t="s">
        <v>11</v>
      </c>
      <c r="G888" s="2">
        <v>1.1544715447154399</v>
      </c>
      <c r="H888" s="2">
        <v>1047.19799200802</v>
      </c>
    </row>
    <row r="889" spans="1:8" x14ac:dyDescent="0.3">
      <c r="A889" t="s">
        <v>957</v>
      </c>
      <c r="B889" t="s">
        <v>472</v>
      </c>
      <c r="C889">
        <v>46</v>
      </c>
      <c r="D889" t="s">
        <v>17</v>
      </c>
      <c r="E889" t="str">
        <f ca="1">IF(Table1[[#This Row],[is_smoker]]=0,"non-smoker","smoker")</f>
        <v>non-smoker</v>
      </c>
      <c r="F889" t="s">
        <v>24</v>
      </c>
      <c r="G889" s="2">
        <v>1.70325203252032</v>
      </c>
      <c r="H889" s="2">
        <v>4447.5199249939196</v>
      </c>
    </row>
    <row r="890" spans="1:8" x14ac:dyDescent="0.3">
      <c r="A890" t="s">
        <v>958</v>
      </c>
      <c r="B890" t="s">
        <v>29</v>
      </c>
      <c r="C890">
        <v>21</v>
      </c>
      <c r="D890" t="s">
        <v>17</v>
      </c>
      <c r="E890" t="str">
        <f ca="1">IF(Table1[[#This Row],[is_smoker]]=0,"non-smoker","smoker")</f>
        <v>non-smoker</v>
      </c>
      <c r="F890" t="s">
        <v>48</v>
      </c>
      <c r="G890" s="2">
        <v>0.46341463414634099</v>
      </c>
      <c r="H890" s="2">
        <v>1446.04005451373</v>
      </c>
    </row>
    <row r="891" spans="1:8" x14ac:dyDescent="0.3">
      <c r="A891" t="s">
        <v>959</v>
      </c>
      <c r="B891" t="s">
        <v>13</v>
      </c>
      <c r="C891">
        <v>50</v>
      </c>
      <c r="D891" t="s">
        <v>10</v>
      </c>
      <c r="E891" t="str">
        <f ca="1">IF(Table1[[#This Row],[is_smoker]]=0,"non-smoker","smoker")</f>
        <v>non-smoker</v>
      </c>
      <c r="F891" t="s">
        <v>2004</v>
      </c>
      <c r="G891" s="2">
        <v>1.2073170731707299</v>
      </c>
      <c r="H891" s="2">
        <v>1064.3573298301701</v>
      </c>
    </row>
    <row r="892" spans="1:8" x14ac:dyDescent="0.3">
      <c r="A892" t="s">
        <v>960</v>
      </c>
      <c r="B892" t="s">
        <v>82</v>
      </c>
      <c r="C892">
        <v>58</v>
      </c>
      <c r="D892" t="s">
        <v>10</v>
      </c>
      <c r="E892" t="str">
        <f ca="1">IF(Table1[[#This Row],[is_smoker]]=0,"non-smoker","smoker")</f>
        <v>non-smoker</v>
      </c>
      <c r="F892" t="s">
        <v>48</v>
      </c>
      <c r="G892" s="2">
        <v>0.46341463414634099</v>
      </c>
      <c r="H892" s="2">
        <v>385.90192758844302</v>
      </c>
    </row>
    <row r="893" spans="1:8" x14ac:dyDescent="0.3">
      <c r="A893" t="s">
        <v>961</v>
      </c>
      <c r="B893" t="s">
        <v>82</v>
      </c>
      <c r="C893">
        <v>40</v>
      </c>
      <c r="D893" t="s">
        <v>17</v>
      </c>
      <c r="E893" t="str">
        <f ca="1">IF(Table1[[#This Row],[is_smoker]]=0,"non-smoker","smoker")</f>
        <v>non-smoker</v>
      </c>
      <c r="F893" t="s">
        <v>14</v>
      </c>
      <c r="G893" s="2">
        <v>0.66666666666666596</v>
      </c>
      <c r="H893" s="2">
        <v>1816.84094852769</v>
      </c>
    </row>
    <row r="894" spans="1:8" x14ac:dyDescent="0.3">
      <c r="A894" t="s">
        <v>962</v>
      </c>
      <c r="B894" t="s">
        <v>43</v>
      </c>
      <c r="C894">
        <v>45</v>
      </c>
      <c r="D894" t="s">
        <v>17</v>
      </c>
      <c r="E894" t="str">
        <f ca="1">IF(Table1[[#This Row],[is_smoker]]=0,"non-smoker","smoker")</f>
        <v>non-smoker</v>
      </c>
      <c r="F894" t="s">
        <v>56</v>
      </c>
      <c r="G894" s="2">
        <v>0.19512195121951201</v>
      </c>
      <c r="H894" s="2">
        <v>513.14485695312806</v>
      </c>
    </row>
    <row r="895" spans="1:8" x14ac:dyDescent="0.3">
      <c r="A895" t="s">
        <v>963</v>
      </c>
      <c r="B895" t="s">
        <v>16</v>
      </c>
      <c r="C895">
        <v>35</v>
      </c>
      <c r="D895" t="s">
        <v>10</v>
      </c>
      <c r="E895" t="str">
        <f ca="1">IF(Table1[[#This Row],[is_smoker]]=0,"non-smoker","smoker")</f>
        <v>non-smoker</v>
      </c>
      <c r="F895" t="s">
        <v>19</v>
      </c>
      <c r="G895" s="2">
        <v>1.11788617886178</v>
      </c>
      <c r="H895" s="2">
        <v>1096.69699902618</v>
      </c>
    </row>
    <row r="896" spans="1:8" x14ac:dyDescent="0.3">
      <c r="A896" t="s">
        <v>964</v>
      </c>
      <c r="B896" t="s">
        <v>21</v>
      </c>
      <c r="C896">
        <v>23</v>
      </c>
      <c r="D896" t="s">
        <v>10</v>
      </c>
      <c r="E896" t="str">
        <f ca="1">IF(Table1[[#This Row],[is_smoker]]=0,"non-smoker","smoker")</f>
        <v>non-smoker</v>
      </c>
      <c r="F896" t="s">
        <v>61</v>
      </c>
      <c r="G896" s="2">
        <v>1.61788617886178</v>
      </c>
      <c r="H896" s="2">
        <v>1728.9219877114799</v>
      </c>
    </row>
    <row r="897" spans="1:8" x14ac:dyDescent="0.3">
      <c r="A897" t="s">
        <v>965</v>
      </c>
      <c r="B897" t="s">
        <v>50</v>
      </c>
      <c r="C897">
        <v>36</v>
      </c>
      <c r="D897" t="s">
        <v>10</v>
      </c>
      <c r="E897" t="str">
        <f ca="1">IF(Table1[[#This Row],[is_smoker]]=0,"non-smoker","smoker")</f>
        <v>non-smoker</v>
      </c>
      <c r="F897" t="s">
        <v>56</v>
      </c>
      <c r="G897" s="2">
        <v>0.19512195121951201</v>
      </c>
      <c r="H897" s="2">
        <v>190.06420567011199</v>
      </c>
    </row>
    <row r="898" spans="1:8" x14ac:dyDescent="0.3">
      <c r="A898" t="s">
        <v>966</v>
      </c>
      <c r="B898" t="s">
        <v>166</v>
      </c>
      <c r="C898">
        <v>30</v>
      </c>
      <c r="D898" t="s">
        <v>10</v>
      </c>
      <c r="E898" t="str">
        <f ca="1">IF(Table1[[#This Row],[is_smoker]]=0,"non-smoker","smoker")</f>
        <v>non-smoker</v>
      </c>
      <c r="F898" t="s">
        <v>61</v>
      </c>
      <c r="G898" s="2">
        <v>1.61788617886178</v>
      </c>
      <c r="H898" s="2">
        <v>1644.7933889922399</v>
      </c>
    </row>
    <row r="899" spans="1:8" x14ac:dyDescent="0.3">
      <c r="A899" t="s">
        <v>967</v>
      </c>
      <c r="B899" t="s">
        <v>23</v>
      </c>
      <c r="C899">
        <v>21</v>
      </c>
      <c r="D899" t="s">
        <v>10</v>
      </c>
      <c r="E899" t="str">
        <f ca="1">IF(Table1[[#This Row],[is_smoker]]=0,"non-smoker","smoker")</f>
        <v>non-smoker</v>
      </c>
      <c r="F899" t="s">
        <v>2004</v>
      </c>
      <c r="G899" s="2">
        <v>1.2073170731707299</v>
      </c>
      <c r="H899" s="2">
        <v>1308.6951777025099</v>
      </c>
    </row>
    <row r="900" spans="1:8" x14ac:dyDescent="0.3">
      <c r="A900" t="s">
        <v>968</v>
      </c>
      <c r="B900" t="s">
        <v>175</v>
      </c>
      <c r="C900">
        <v>25</v>
      </c>
      <c r="D900" t="s">
        <v>10</v>
      </c>
      <c r="E900" t="str">
        <f ca="1">IF(Table1[[#This Row],[is_smoker]]=0,"non-smoker","smoker")</f>
        <v>smoker</v>
      </c>
      <c r="F900" t="s">
        <v>44</v>
      </c>
      <c r="G900" s="2">
        <v>1.1341463414634101</v>
      </c>
      <c r="H900" s="2">
        <v>1283.1410923702499</v>
      </c>
    </row>
    <row r="901" spans="1:8" x14ac:dyDescent="0.3">
      <c r="A901" t="s">
        <v>969</v>
      </c>
      <c r="B901" t="s">
        <v>113</v>
      </c>
      <c r="C901">
        <v>42</v>
      </c>
      <c r="D901" t="s">
        <v>10</v>
      </c>
      <c r="E901" t="str">
        <f ca="1">IF(Table1[[#This Row],[is_smoker]]=0,"non-smoker","smoker")</f>
        <v>non-smoker</v>
      </c>
      <c r="F901" t="s">
        <v>11</v>
      </c>
      <c r="G901" s="2">
        <v>1.1544715447154399</v>
      </c>
      <c r="H901" s="2">
        <v>1077.4776130692801</v>
      </c>
    </row>
    <row r="902" spans="1:8" x14ac:dyDescent="0.3">
      <c r="A902" t="s">
        <v>970</v>
      </c>
      <c r="B902" t="s">
        <v>60</v>
      </c>
      <c r="C902">
        <v>28</v>
      </c>
      <c r="D902" t="s">
        <v>17</v>
      </c>
      <c r="E902" t="str">
        <f ca="1">IF(Table1[[#This Row],[is_smoker]]=0,"non-smoker","smoker")</f>
        <v>non-smoker</v>
      </c>
      <c r="F902" t="s">
        <v>27</v>
      </c>
      <c r="G902" s="2">
        <v>0.53252032520325199</v>
      </c>
      <c r="H902" s="2">
        <v>1580.82109038922</v>
      </c>
    </row>
    <row r="903" spans="1:8" x14ac:dyDescent="0.3">
      <c r="A903" t="s">
        <v>971</v>
      </c>
      <c r="B903" t="s">
        <v>166</v>
      </c>
      <c r="C903">
        <v>24</v>
      </c>
      <c r="D903" t="s">
        <v>10</v>
      </c>
      <c r="E903" t="str">
        <f ca="1">IF(Table1[[#This Row],[is_smoker]]=0,"non-smoker","smoker")</f>
        <v>non-smoker</v>
      </c>
      <c r="F903" t="s">
        <v>56</v>
      </c>
      <c r="G903" s="2">
        <v>0.19512195121951201</v>
      </c>
      <c r="H903" s="2">
        <v>207.03258232586799</v>
      </c>
    </row>
    <row r="904" spans="1:8" x14ac:dyDescent="0.3">
      <c r="A904" t="s">
        <v>972</v>
      </c>
      <c r="B904" t="s">
        <v>29</v>
      </c>
      <c r="C904">
        <v>47</v>
      </c>
      <c r="D904" t="s">
        <v>10</v>
      </c>
      <c r="E904" t="str">
        <f ca="1">IF(Table1[[#This Row],[is_smoker]]=0,"non-smoker","smoker")</f>
        <v>non-smoker</v>
      </c>
      <c r="F904" t="s">
        <v>19</v>
      </c>
      <c r="G904" s="2">
        <v>1.11788617886178</v>
      </c>
      <c r="H904" s="2">
        <v>1006.81178604351</v>
      </c>
    </row>
    <row r="905" spans="1:8" x14ac:dyDescent="0.3">
      <c r="A905" t="s">
        <v>973</v>
      </c>
      <c r="B905" t="s">
        <v>13</v>
      </c>
      <c r="C905">
        <v>43</v>
      </c>
      <c r="D905" t="s">
        <v>10</v>
      </c>
      <c r="E905" t="str">
        <f ca="1">IF(Table1[[#This Row],[is_smoker]]=0,"non-smoker","smoker")</f>
        <v>non-smoker</v>
      </c>
      <c r="F905" t="s">
        <v>48</v>
      </c>
      <c r="G905" s="2">
        <v>0.46341463414634099</v>
      </c>
      <c r="H905" s="2">
        <v>429.43743794198002</v>
      </c>
    </row>
    <row r="906" spans="1:8" x14ac:dyDescent="0.3">
      <c r="A906" t="s">
        <v>974</v>
      </c>
      <c r="B906" t="s">
        <v>113</v>
      </c>
      <c r="C906">
        <v>62</v>
      </c>
      <c r="D906" t="s">
        <v>17</v>
      </c>
      <c r="E906" t="str">
        <f ca="1">IF(Table1[[#This Row],[is_smoker]]=0,"non-smoker","smoker")</f>
        <v>non-smoker</v>
      </c>
      <c r="F906" t="s">
        <v>19</v>
      </c>
      <c r="G906" s="2">
        <v>1.11788617886178</v>
      </c>
      <c r="H906" s="2">
        <v>2604.4663720820599</v>
      </c>
    </row>
    <row r="907" spans="1:8" x14ac:dyDescent="0.3">
      <c r="A907" t="s">
        <v>975</v>
      </c>
      <c r="B907" t="s">
        <v>29</v>
      </c>
      <c r="C907">
        <v>62</v>
      </c>
      <c r="D907" t="s">
        <v>10</v>
      </c>
      <c r="E907" t="str">
        <f ca="1">IF(Table1[[#This Row],[is_smoker]]=0,"non-smoker","smoker")</f>
        <v>non-smoker</v>
      </c>
      <c r="F907" t="s">
        <v>2004</v>
      </c>
      <c r="G907" s="2">
        <v>1.2073170731707299</v>
      </c>
      <c r="H907" s="2">
        <v>977.12267398047504</v>
      </c>
    </row>
    <row r="908" spans="1:8" x14ac:dyDescent="0.3">
      <c r="A908" t="s">
        <v>976</v>
      </c>
      <c r="B908" t="s">
        <v>13</v>
      </c>
      <c r="C908">
        <v>33</v>
      </c>
      <c r="D908" t="s">
        <v>10</v>
      </c>
      <c r="E908" t="str">
        <f ca="1">IF(Table1[[#This Row],[is_smoker]]=0,"non-smoker","smoker")</f>
        <v>non-smoker</v>
      </c>
      <c r="F908" t="s">
        <v>61</v>
      </c>
      <c r="G908" s="2">
        <v>1.61788617886178</v>
      </c>
      <c r="H908" s="2">
        <v>1610.00327956553</v>
      </c>
    </row>
    <row r="909" spans="1:8" x14ac:dyDescent="0.3">
      <c r="A909" t="s">
        <v>977</v>
      </c>
      <c r="B909" t="s">
        <v>13</v>
      </c>
      <c r="C909">
        <v>34</v>
      </c>
      <c r="D909" t="s">
        <v>17</v>
      </c>
      <c r="E909" t="str">
        <f ca="1">IF(Table1[[#This Row],[is_smoker]]=0,"non-smoker","smoker")</f>
        <v>non-smoker</v>
      </c>
      <c r="F909" t="s">
        <v>48</v>
      </c>
      <c r="G909" s="2">
        <v>0.46341463414634099</v>
      </c>
      <c r="H909" s="2">
        <v>1318.09616049949</v>
      </c>
    </row>
    <row r="910" spans="1:8" x14ac:dyDescent="0.3">
      <c r="A910" t="s">
        <v>978</v>
      </c>
      <c r="B910" t="s">
        <v>78</v>
      </c>
      <c r="C910">
        <v>56</v>
      </c>
      <c r="D910" t="s">
        <v>17</v>
      </c>
      <c r="E910" t="str">
        <f ca="1">IF(Table1[[#This Row],[is_smoker]]=0,"non-smoker","smoker")</f>
        <v>non-smoker</v>
      </c>
      <c r="F910" t="s">
        <v>27</v>
      </c>
      <c r="G910" s="2">
        <v>0.53252032520325199</v>
      </c>
      <c r="H910" s="2">
        <v>1294.87110071234</v>
      </c>
    </row>
    <row r="911" spans="1:8" x14ac:dyDescent="0.3">
      <c r="A911" t="s">
        <v>979</v>
      </c>
      <c r="B911" t="s">
        <v>135</v>
      </c>
      <c r="C911">
        <v>52</v>
      </c>
      <c r="D911" t="s">
        <v>17</v>
      </c>
      <c r="E911" t="str">
        <f ca="1">IF(Table1[[#This Row],[is_smoker]]=0,"non-smoker","smoker")</f>
        <v>non-smoker</v>
      </c>
      <c r="F911" t="s">
        <v>27</v>
      </c>
      <c r="G911" s="2">
        <v>0.53252032520325199</v>
      </c>
      <c r="H911" s="2">
        <v>1332.3121639610999</v>
      </c>
    </row>
    <row r="912" spans="1:8" x14ac:dyDescent="0.3">
      <c r="A912" t="s">
        <v>980</v>
      </c>
      <c r="B912" t="s">
        <v>113</v>
      </c>
      <c r="C912">
        <v>31</v>
      </c>
      <c r="D912" t="s">
        <v>17</v>
      </c>
      <c r="E912" t="str">
        <f ca="1">IF(Table1[[#This Row],[is_smoker]]=0,"non-smoker","smoker")</f>
        <v>non-smoker</v>
      </c>
      <c r="F912" t="s">
        <v>56</v>
      </c>
      <c r="G912" s="2">
        <v>0.19512195121951201</v>
      </c>
      <c r="H912" s="2">
        <v>566.98043403807299</v>
      </c>
    </row>
    <row r="913" spans="1:8" x14ac:dyDescent="0.3">
      <c r="A913" t="s">
        <v>981</v>
      </c>
      <c r="B913" t="s">
        <v>37</v>
      </c>
      <c r="C913">
        <v>54</v>
      </c>
      <c r="D913" t="s">
        <v>17</v>
      </c>
      <c r="E913" t="str">
        <f ca="1">IF(Table1[[#This Row],[is_smoker]]=0,"non-smoker","smoker")</f>
        <v>non-smoker</v>
      </c>
      <c r="F913" t="s">
        <v>2004</v>
      </c>
      <c r="G913" s="2">
        <v>1.2073170731707299</v>
      </c>
      <c r="H913" s="2">
        <v>2977.8404113747802</v>
      </c>
    </row>
    <row r="914" spans="1:8" x14ac:dyDescent="0.3">
      <c r="A914" s="1" t="s">
        <v>982</v>
      </c>
      <c r="B914" t="s">
        <v>43</v>
      </c>
      <c r="C914">
        <v>51</v>
      </c>
      <c r="D914" t="s">
        <v>17</v>
      </c>
      <c r="E914" t="str">
        <f ca="1">IF(Table1[[#This Row],[is_smoker]]=0,"non-smoker","smoker")</f>
        <v>non-smoker</v>
      </c>
      <c r="F914" t="s">
        <v>44</v>
      </c>
      <c r="G914" s="2">
        <v>1.1341463414634101</v>
      </c>
      <c r="H914" s="2">
        <v>2857.81271591425</v>
      </c>
    </row>
    <row r="915" spans="1:8" x14ac:dyDescent="0.3">
      <c r="A915" t="s">
        <v>983</v>
      </c>
      <c r="B915" t="s">
        <v>60</v>
      </c>
      <c r="C915">
        <v>23</v>
      </c>
      <c r="D915" t="s">
        <v>17</v>
      </c>
      <c r="E915" t="str">
        <f ca="1">IF(Table1[[#This Row],[is_smoker]]=0,"non-smoker","smoker")</f>
        <v>non-smoker</v>
      </c>
      <c r="F915" t="s">
        <v>2004</v>
      </c>
      <c r="G915" s="2">
        <v>1.2073170731707299</v>
      </c>
      <c r="H915" s="2">
        <v>3714.0025147023298</v>
      </c>
    </row>
    <row r="916" spans="1:8" x14ac:dyDescent="0.3">
      <c r="A916" t="s">
        <v>984</v>
      </c>
      <c r="B916" t="s">
        <v>37</v>
      </c>
      <c r="C916">
        <v>42</v>
      </c>
      <c r="D916" t="s">
        <v>17</v>
      </c>
      <c r="E916" t="str">
        <f ca="1">IF(Table1[[#This Row],[is_smoker]]=0,"non-smoker","smoker")</f>
        <v>non-smoker</v>
      </c>
      <c r="F916" t="s">
        <v>61</v>
      </c>
      <c r="G916" s="2">
        <v>1.61788617886178</v>
      </c>
      <c r="H916" s="2">
        <v>4346.7674498409397</v>
      </c>
    </row>
    <row r="917" spans="1:8" x14ac:dyDescent="0.3">
      <c r="A917" t="s">
        <v>985</v>
      </c>
      <c r="B917" t="s">
        <v>170</v>
      </c>
      <c r="C917">
        <v>47</v>
      </c>
      <c r="D917" t="s">
        <v>10</v>
      </c>
      <c r="E917" t="str">
        <f ca="1">IF(Table1[[#This Row],[is_smoker]]=0,"non-smoker","smoker")</f>
        <v>non-smoker</v>
      </c>
      <c r="F917" t="s">
        <v>19</v>
      </c>
      <c r="G917" s="2">
        <v>1.11788617886178</v>
      </c>
      <c r="H917" s="2">
        <v>1006.81178604351</v>
      </c>
    </row>
    <row r="918" spans="1:8" x14ac:dyDescent="0.3">
      <c r="A918" t="s">
        <v>986</v>
      </c>
      <c r="B918" t="s">
        <v>13</v>
      </c>
      <c r="C918">
        <v>53</v>
      </c>
      <c r="D918" t="s">
        <v>10</v>
      </c>
      <c r="E918" t="str">
        <f ca="1">IF(Table1[[#This Row],[is_smoker]]=0,"non-smoker","smoker")</f>
        <v>non-smoker</v>
      </c>
      <c r="F918" t="s">
        <v>27</v>
      </c>
      <c r="G918" s="2">
        <v>0.53252032520325199</v>
      </c>
      <c r="H918" s="2">
        <v>459.53406468215002</v>
      </c>
    </row>
    <row r="919" spans="1:8" x14ac:dyDescent="0.3">
      <c r="A919" t="s">
        <v>987</v>
      </c>
      <c r="B919" t="s">
        <v>178</v>
      </c>
      <c r="C919">
        <v>65</v>
      </c>
      <c r="D919" t="s">
        <v>10</v>
      </c>
      <c r="E919" t="str">
        <f ca="1">IF(Table1[[#This Row],[is_smoker]]=0,"non-smoker","smoker")</f>
        <v>non-smoker</v>
      </c>
      <c r="F919" t="s">
        <v>19</v>
      </c>
      <c r="G919" s="2">
        <v>1.11788617886178</v>
      </c>
      <c r="H919" s="2">
        <v>885.60639635192899</v>
      </c>
    </row>
    <row r="920" spans="1:8" x14ac:dyDescent="0.3">
      <c r="A920" t="s">
        <v>988</v>
      </c>
      <c r="B920" t="s">
        <v>31</v>
      </c>
      <c r="C920">
        <v>25</v>
      </c>
      <c r="D920" t="s">
        <v>10</v>
      </c>
      <c r="E920" t="str">
        <f ca="1">IF(Table1[[#This Row],[is_smoker]]=0,"non-smoker","smoker")</f>
        <v>non-smoker</v>
      </c>
      <c r="F920" t="s">
        <v>19</v>
      </c>
      <c r="G920" s="2">
        <v>1.11788617886178</v>
      </c>
      <c r="H920" s="2">
        <v>1177.70167274767</v>
      </c>
    </row>
    <row r="921" spans="1:8" x14ac:dyDescent="0.3">
      <c r="A921" t="s">
        <v>989</v>
      </c>
      <c r="B921" t="s">
        <v>16</v>
      </c>
      <c r="C921">
        <v>64</v>
      </c>
      <c r="D921" t="s">
        <v>10</v>
      </c>
      <c r="E921" t="str">
        <f ca="1">IF(Table1[[#This Row],[is_smoker]]=0,"non-smoker","smoker")</f>
        <v>non-smoker</v>
      </c>
      <c r="F921" t="s">
        <v>19</v>
      </c>
      <c r="G921" s="2">
        <v>1.11788617886178</v>
      </c>
      <c r="H921" s="2">
        <v>891.93993330478497</v>
      </c>
    </row>
    <row r="922" spans="1:8" x14ac:dyDescent="0.3">
      <c r="A922" t="s">
        <v>990</v>
      </c>
      <c r="B922" t="s">
        <v>92</v>
      </c>
      <c r="C922">
        <v>63</v>
      </c>
      <c r="D922" t="s">
        <v>17</v>
      </c>
      <c r="E922" t="str">
        <f ca="1">IF(Table1[[#This Row],[is_smoker]]=0,"non-smoker","smoker")</f>
        <v>non-smoker</v>
      </c>
      <c r="F922" t="s">
        <v>27</v>
      </c>
      <c r="G922" s="2">
        <v>0.53252032520325199</v>
      </c>
      <c r="H922" s="2">
        <v>1231.8632310691401</v>
      </c>
    </row>
    <row r="923" spans="1:8" x14ac:dyDescent="0.3">
      <c r="A923" t="s">
        <v>991</v>
      </c>
      <c r="B923" t="s">
        <v>110</v>
      </c>
      <c r="C923">
        <v>27</v>
      </c>
      <c r="D923" t="s">
        <v>17</v>
      </c>
      <c r="E923" t="str">
        <f ca="1">IF(Table1[[#This Row],[is_smoker]]=0,"non-smoker","smoker")</f>
        <v>non-smoker</v>
      </c>
      <c r="F923" t="s">
        <v>24</v>
      </c>
      <c r="G923" s="2">
        <v>1.70325203252032</v>
      </c>
      <c r="H923" s="2">
        <v>5092.3742376681503</v>
      </c>
    </row>
    <row r="924" spans="1:8" x14ac:dyDescent="0.3">
      <c r="A924" t="s">
        <v>992</v>
      </c>
      <c r="B924" t="s">
        <v>128</v>
      </c>
      <c r="C924">
        <v>50</v>
      </c>
      <c r="D924" t="s">
        <v>10</v>
      </c>
      <c r="E924" t="str">
        <f ca="1">IF(Table1[[#This Row],[is_smoker]]=0,"non-smoker","smoker")</f>
        <v>non-smoker</v>
      </c>
      <c r="F924" t="s">
        <v>14</v>
      </c>
      <c r="G924" s="2">
        <v>0.66666666666666596</v>
      </c>
      <c r="H924" s="2">
        <v>587.72593297019898</v>
      </c>
    </row>
    <row r="925" spans="1:8" x14ac:dyDescent="0.3">
      <c r="A925" t="s">
        <v>993</v>
      </c>
      <c r="B925" t="s">
        <v>16</v>
      </c>
      <c r="C925">
        <v>36</v>
      </c>
      <c r="D925" t="s">
        <v>10</v>
      </c>
      <c r="E925" t="str">
        <f ca="1">IF(Table1[[#This Row],[is_smoker]]=0,"non-smoker","smoker")</f>
        <v>non-smoker</v>
      </c>
      <c r="F925" t="s">
        <v>61</v>
      </c>
      <c r="G925" s="2">
        <v>1.61788617886178</v>
      </c>
      <c r="H925" s="2">
        <v>1575.94903868135</v>
      </c>
    </row>
    <row r="926" spans="1:8" x14ac:dyDescent="0.3">
      <c r="A926" t="s">
        <v>994</v>
      </c>
      <c r="B926" t="s">
        <v>29</v>
      </c>
      <c r="C926">
        <v>35</v>
      </c>
      <c r="D926" t="s">
        <v>10</v>
      </c>
      <c r="E926" t="str">
        <f ca="1">IF(Table1[[#This Row],[is_smoker]]=0,"non-smoker","smoker")</f>
        <v>non-smoker</v>
      </c>
      <c r="F926" t="s">
        <v>24</v>
      </c>
      <c r="G926" s="2">
        <v>1.70325203252032</v>
      </c>
      <c r="H926" s="2">
        <v>1670.9674276071601</v>
      </c>
    </row>
    <row r="927" spans="1:8" x14ac:dyDescent="0.3">
      <c r="A927" t="s">
        <v>995</v>
      </c>
      <c r="B927" t="s">
        <v>33</v>
      </c>
      <c r="C927">
        <v>45</v>
      </c>
      <c r="D927" t="s">
        <v>10</v>
      </c>
      <c r="E927" t="str">
        <f ca="1">IF(Table1[[#This Row],[is_smoker]]=0,"non-smoker","smoker")</f>
        <v>non-smoker</v>
      </c>
      <c r="F927" t="s">
        <v>61</v>
      </c>
      <c r="G927" s="2">
        <v>1.61788617886178</v>
      </c>
      <c r="H927" s="2">
        <v>1478.0475180242399</v>
      </c>
    </row>
    <row r="928" spans="1:8" x14ac:dyDescent="0.3">
      <c r="A928" t="s">
        <v>996</v>
      </c>
      <c r="B928" t="s">
        <v>29</v>
      </c>
      <c r="C928">
        <v>20</v>
      </c>
      <c r="D928" t="s">
        <v>10</v>
      </c>
      <c r="E928" t="str">
        <f ca="1">IF(Table1[[#This Row],[is_smoker]]=0,"non-smoker","smoker")</f>
        <v>smoker</v>
      </c>
      <c r="F928" t="s">
        <v>48</v>
      </c>
      <c r="G928" s="2">
        <v>0.46341463414634099</v>
      </c>
      <c r="H928" s="2">
        <v>543.312103314041</v>
      </c>
    </row>
    <row r="929" spans="1:8" x14ac:dyDescent="0.3">
      <c r="A929" t="s">
        <v>997</v>
      </c>
      <c r="B929" t="s">
        <v>33</v>
      </c>
      <c r="C929">
        <v>46</v>
      </c>
      <c r="D929" t="s">
        <v>17</v>
      </c>
      <c r="E929" t="str">
        <f ca="1">IF(Table1[[#This Row],[is_smoker]]=0,"non-smoker","smoker")</f>
        <v>non-smoker</v>
      </c>
      <c r="F929" t="s">
        <v>2004</v>
      </c>
      <c r="G929" s="2">
        <v>1.2073170731707299</v>
      </c>
      <c r="H929" s="2">
        <v>3152.5379897928301</v>
      </c>
    </row>
    <row r="930" spans="1:8" x14ac:dyDescent="0.3">
      <c r="A930" t="s">
        <v>998</v>
      </c>
      <c r="B930" t="s">
        <v>29</v>
      </c>
      <c r="C930">
        <v>36</v>
      </c>
      <c r="D930" t="s">
        <v>17</v>
      </c>
      <c r="E930" t="str">
        <f ca="1">IF(Table1[[#This Row],[is_smoker]]=0,"non-smoker","smoker")</f>
        <v>non-smoker</v>
      </c>
      <c r="F930" t="s">
        <v>2004</v>
      </c>
      <c r="G930" s="2">
        <v>1.2073170731707299</v>
      </c>
      <c r="H930" s="2">
        <v>3385.3920155488299</v>
      </c>
    </row>
    <row r="931" spans="1:8" x14ac:dyDescent="0.3">
      <c r="A931" t="s">
        <v>999</v>
      </c>
      <c r="B931" t="s">
        <v>16</v>
      </c>
      <c r="C931">
        <v>44</v>
      </c>
      <c r="D931" t="s">
        <v>17</v>
      </c>
      <c r="E931" t="str">
        <f ca="1">IF(Table1[[#This Row],[is_smoker]]=0,"non-smoker","smoker")</f>
        <v>non-smoker</v>
      </c>
      <c r="F931" t="s">
        <v>11</v>
      </c>
      <c r="G931" s="2">
        <v>1.1544715447154399</v>
      </c>
      <c r="H931" s="2">
        <v>3057.8202110441698</v>
      </c>
    </row>
    <row r="932" spans="1:8" x14ac:dyDescent="0.3">
      <c r="A932" t="s">
        <v>1000</v>
      </c>
      <c r="B932" t="s">
        <v>13</v>
      </c>
      <c r="C932">
        <v>28</v>
      </c>
      <c r="D932" t="s">
        <v>17</v>
      </c>
      <c r="E932" t="str">
        <f ca="1">IF(Table1[[#This Row],[is_smoker]]=0,"non-smoker","smoker")</f>
        <v>non-smoker</v>
      </c>
      <c r="F932" t="s">
        <v>2004</v>
      </c>
      <c r="G932" s="2">
        <v>1.2073170731707299</v>
      </c>
      <c r="H932" s="2">
        <v>3583.99896065342</v>
      </c>
    </row>
    <row r="933" spans="1:8" x14ac:dyDescent="0.3">
      <c r="A933" t="s">
        <v>1001</v>
      </c>
      <c r="B933" t="s">
        <v>178</v>
      </c>
      <c r="C933">
        <v>23</v>
      </c>
      <c r="D933" t="s">
        <v>10</v>
      </c>
      <c r="E933" t="str">
        <f ca="1">IF(Table1[[#This Row],[is_smoker]]=0,"non-smoker","smoker")</f>
        <v>non-smoker</v>
      </c>
      <c r="F933" t="s">
        <v>27</v>
      </c>
      <c r="G933" s="2">
        <v>0.53252032520325199</v>
      </c>
      <c r="H933" s="2">
        <v>569.06728741257405</v>
      </c>
    </row>
    <row r="934" spans="1:8" x14ac:dyDescent="0.3">
      <c r="A934" t="s">
        <v>1002</v>
      </c>
      <c r="B934" t="s">
        <v>85</v>
      </c>
      <c r="C934">
        <v>60</v>
      </c>
      <c r="D934" t="s">
        <v>17</v>
      </c>
      <c r="E934" t="str">
        <f ca="1">IF(Table1[[#This Row],[is_smoker]]=0,"non-smoker","smoker")</f>
        <v>non-smoker</v>
      </c>
      <c r="F934" t="s">
        <v>44</v>
      </c>
      <c r="G934" s="2">
        <v>1.1341463414634101</v>
      </c>
      <c r="H934" s="2">
        <v>2680.2789227686699</v>
      </c>
    </row>
    <row r="935" spans="1:8" x14ac:dyDescent="0.3">
      <c r="A935" t="s">
        <v>1003</v>
      </c>
      <c r="B935" t="s">
        <v>29</v>
      </c>
      <c r="C935">
        <v>62</v>
      </c>
      <c r="D935" t="s">
        <v>10</v>
      </c>
      <c r="E935" t="str">
        <f ca="1">IF(Table1[[#This Row],[is_smoker]]=0,"non-smoker","smoker")</f>
        <v>non-smoker</v>
      </c>
      <c r="F935" t="s">
        <v>56</v>
      </c>
      <c r="G935" s="2">
        <v>0.19512195121951201</v>
      </c>
      <c r="H935" s="2">
        <v>157.91881599684399</v>
      </c>
    </row>
    <row r="936" spans="1:8" x14ac:dyDescent="0.3">
      <c r="A936" t="s">
        <v>1004</v>
      </c>
      <c r="B936" t="s">
        <v>43</v>
      </c>
      <c r="C936">
        <v>21</v>
      </c>
      <c r="D936" t="s">
        <v>10</v>
      </c>
      <c r="E936" t="str">
        <f ca="1">IF(Table1[[#This Row],[is_smoker]]=0,"non-smoker","smoker")</f>
        <v>smoker</v>
      </c>
      <c r="F936" t="s">
        <v>11</v>
      </c>
      <c r="G936" s="2">
        <v>1.1544715447154399</v>
      </c>
      <c r="H936" s="2">
        <v>1343.9032521715201</v>
      </c>
    </row>
    <row r="937" spans="1:8" x14ac:dyDescent="0.3">
      <c r="A937" t="s">
        <v>1005</v>
      </c>
      <c r="B937" t="s">
        <v>13</v>
      </c>
      <c r="C937">
        <v>63</v>
      </c>
      <c r="D937" t="s">
        <v>17</v>
      </c>
      <c r="E937" t="str">
        <f ca="1">IF(Table1[[#This Row],[is_smoker]]=0,"non-smoker","smoker")</f>
        <v>non-smoker</v>
      </c>
      <c r="F937" t="s">
        <v>56</v>
      </c>
      <c r="G937" s="2">
        <v>0.19512195121951201</v>
      </c>
      <c r="H937" s="2">
        <v>451.36973352152</v>
      </c>
    </row>
    <row r="938" spans="1:8" x14ac:dyDescent="0.3">
      <c r="A938" t="s">
        <v>1006</v>
      </c>
      <c r="B938" t="s">
        <v>37</v>
      </c>
      <c r="C938">
        <v>25</v>
      </c>
      <c r="D938" t="s">
        <v>17</v>
      </c>
      <c r="E938" t="str">
        <f ca="1">IF(Table1[[#This Row],[is_smoker]]=0,"non-smoker","smoker")</f>
        <v>smoker</v>
      </c>
      <c r="F938" t="s">
        <v>61</v>
      </c>
      <c r="G938" s="2">
        <v>1.61788617886178</v>
      </c>
      <c r="H938" s="2">
        <v>5269.2244810371803</v>
      </c>
    </row>
    <row r="939" spans="1:8" x14ac:dyDescent="0.3">
      <c r="A939" t="s">
        <v>1007</v>
      </c>
      <c r="B939" t="s">
        <v>29</v>
      </c>
      <c r="C939">
        <v>33</v>
      </c>
      <c r="D939" t="s">
        <v>10</v>
      </c>
      <c r="E939" t="str">
        <f ca="1">IF(Table1[[#This Row],[is_smoker]]=0,"non-smoker","smoker")</f>
        <v>non-smoker</v>
      </c>
      <c r="F939" t="s">
        <v>56</v>
      </c>
      <c r="G939" s="2">
        <v>0.19512195121951201</v>
      </c>
      <c r="H939" s="2">
        <v>194.17124979684701</v>
      </c>
    </row>
    <row r="940" spans="1:8" x14ac:dyDescent="0.3">
      <c r="A940" t="s">
        <v>1008</v>
      </c>
      <c r="B940" t="s">
        <v>31</v>
      </c>
      <c r="C940">
        <v>50</v>
      </c>
      <c r="D940" t="s">
        <v>17</v>
      </c>
      <c r="E940" t="str">
        <f ca="1">IF(Table1[[#This Row],[is_smoker]]=0,"non-smoker","smoker")</f>
        <v>non-smoker</v>
      </c>
      <c r="F940" t="s">
        <v>56</v>
      </c>
      <c r="G940" s="2">
        <v>0.19512195121951201</v>
      </c>
      <c r="H940" s="2">
        <v>495.18292642622498</v>
      </c>
    </row>
    <row r="941" spans="1:8" x14ac:dyDescent="0.3">
      <c r="A941" t="s">
        <v>1009</v>
      </c>
      <c r="B941" t="s">
        <v>23</v>
      </c>
      <c r="C941">
        <v>51</v>
      </c>
      <c r="D941" t="s">
        <v>10</v>
      </c>
      <c r="E941" t="str">
        <f ca="1">IF(Table1[[#This Row],[is_smoker]]=0,"non-smoker","smoker")</f>
        <v>non-smoker</v>
      </c>
      <c r="F941" t="s">
        <v>11</v>
      </c>
      <c r="G941" s="2">
        <v>1.1544715447154399</v>
      </c>
      <c r="H941" s="2">
        <v>1010.54226541252</v>
      </c>
    </row>
    <row r="942" spans="1:8" x14ac:dyDescent="0.3">
      <c r="A942" t="s">
        <v>1010</v>
      </c>
      <c r="B942" t="s">
        <v>50</v>
      </c>
      <c r="C942">
        <v>48</v>
      </c>
      <c r="D942" t="s">
        <v>10</v>
      </c>
      <c r="E942" t="str">
        <f ca="1">IF(Table1[[#This Row],[is_smoker]]=0,"non-smoker","smoker")</f>
        <v>non-smoker</v>
      </c>
      <c r="F942" t="s">
        <v>48</v>
      </c>
      <c r="G942" s="2">
        <v>0.46341463414634099</v>
      </c>
      <c r="H942" s="2">
        <v>414.40557058241001</v>
      </c>
    </row>
    <row r="943" spans="1:8" x14ac:dyDescent="0.3">
      <c r="A943" t="s">
        <v>1011</v>
      </c>
      <c r="B943" t="s">
        <v>113</v>
      </c>
      <c r="C943">
        <v>46</v>
      </c>
      <c r="D943" t="s">
        <v>17</v>
      </c>
      <c r="E943" t="str">
        <f ca="1">IF(Table1[[#This Row],[is_smoker]]=0,"non-smoker","smoker")</f>
        <v>non-smoker</v>
      </c>
      <c r="F943" t="s">
        <v>19</v>
      </c>
      <c r="G943" s="2">
        <v>1.11788617886178</v>
      </c>
      <c r="H943" s="2">
        <v>2919.0166572155799</v>
      </c>
    </row>
    <row r="944" spans="1:8" x14ac:dyDescent="0.3">
      <c r="A944" t="s">
        <v>1012</v>
      </c>
      <c r="B944" t="s">
        <v>29</v>
      </c>
      <c r="C944">
        <v>35</v>
      </c>
      <c r="D944" t="s">
        <v>17</v>
      </c>
      <c r="E944" t="str">
        <f ca="1">IF(Table1[[#This Row],[is_smoker]]=0,"non-smoker","smoker")</f>
        <v>non-smoker</v>
      </c>
      <c r="F944" t="s">
        <v>2004</v>
      </c>
      <c r="G944" s="2">
        <v>1.2073170731707299</v>
      </c>
      <c r="H944" s="2">
        <v>3409.6031160091502</v>
      </c>
    </row>
    <row r="945" spans="1:8" x14ac:dyDescent="0.3">
      <c r="A945" t="s">
        <v>1013</v>
      </c>
      <c r="B945" t="s">
        <v>502</v>
      </c>
      <c r="C945">
        <v>48</v>
      </c>
      <c r="D945" t="s">
        <v>17</v>
      </c>
      <c r="E945" t="str">
        <f ca="1">IF(Table1[[#This Row],[is_smoker]]=0,"non-smoker","smoker")</f>
        <v>non-smoker</v>
      </c>
      <c r="F945" t="s">
        <v>2004</v>
      </c>
      <c r="G945" s="2">
        <v>1.2073170731707299</v>
      </c>
      <c r="H945" s="2">
        <v>3107.9255114755701</v>
      </c>
    </row>
    <row r="946" spans="1:8" x14ac:dyDescent="0.3">
      <c r="A946" t="s">
        <v>1014</v>
      </c>
      <c r="B946" t="s">
        <v>13</v>
      </c>
      <c r="C946">
        <v>18</v>
      </c>
      <c r="D946" t="s">
        <v>17</v>
      </c>
      <c r="E946" t="str">
        <f ca="1">IF(Table1[[#This Row],[is_smoker]]=0,"non-smoker","smoker")</f>
        <v>non-smoker</v>
      </c>
      <c r="F946" t="s">
        <v>27</v>
      </c>
      <c r="G946" s="2">
        <v>0.53252032520325199</v>
      </c>
      <c r="H946" s="2">
        <v>1697.5843319707501</v>
      </c>
    </row>
    <row r="947" spans="1:8" x14ac:dyDescent="0.3">
      <c r="A947" t="s">
        <v>1015</v>
      </c>
      <c r="B947" t="s">
        <v>31</v>
      </c>
      <c r="C947">
        <v>40</v>
      </c>
      <c r="D947" t="s">
        <v>17</v>
      </c>
      <c r="E947" t="str">
        <f ca="1">IF(Table1[[#This Row],[is_smoker]]=0,"non-smoker","smoker")</f>
        <v>non-smoker</v>
      </c>
      <c r="F947" t="s">
        <v>11</v>
      </c>
      <c r="G947" s="2">
        <v>1.1544715447154399</v>
      </c>
      <c r="H947" s="2">
        <v>3146.2367645235599</v>
      </c>
    </row>
    <row r="948" spans="1:8" x14ac:dyDescent="0.3">
      <c r="A948" t="s">
        <v>1016</v>
      </c>
      <c r="B948" t="s">
        <v>23</v>
      </c>
      <c r="C948">
        <v>21</v>
      </c>
      <c r="D948" t="s">
        <v>10</v>
      </c>
      <c r="E948" t="str">
        <f ca="1">IF(Table1[[#This Row],[is_smoker]]=0,"non-smoker","smoker")</f>
        <v>non-smoker</v>
      </c>
      <c r="F948" t="s">
        <v>27</v>
      </c>
      <c r="G948" s="2">
        <v>0.53252032520325199</v>
      </c>
      <c r="H948" s="2">
        <v>577.23592013141297</v>
      </c>
    </row>
    <row r="949" spans="1:8" x14ac:dyDescent="0.3">
      <c r="A949" t="s">
        <v>1017</v>
      </c>
      <c r="B949" t="s">
        <v>192</v>
      </c>
      <c r="C949">
        <v>21</v>
      </c>
      <c r="D949" t="s">
        <v>10</v>
      </c>
      <c r="E949" t="str">
        <f ca="1">IF(Table1[[#This Row],[is_smoker]]=0,"non-smoker","smoker")</f>
        <v>non-smoker</v>
      </c>
      <c r="F949" t="s">
        <v>44</v>
      </c>
      <c r="G949" s="2">
        <v>1.1341463414634101</v>
      </c>
      <c r="H949" s="2">
        <v>1229.3803184478199</v>
      </c>
    </row>
    <row r="950" spans="1:8" x14ac:dyDescent="0.3">
      <c r="A950" t="s">
        <v>1018</v>
      </c>
      <c r="B950" t="s">
        <v>938</v>
      </c>
      <c r="C950">
        <v>59</v>
      </c>
      <c r="D950" t="s">
        <v>17</v>
      </c>
      <c r="E950" t="str">
        <f ca="1">IF(Table1[[#This Row],[is_smoker]]=0,"non-smoker","smoker")</f>
        <v>non-smoker</v>
      </c>
      <c r="F950" t="s">
        <v>44</v>
      </c>
      <c r="G950" s="2">
        <v>1.1341463414634101</v>
      </c>
      <c r="H950" s="2">
        <v>2699.4473091660998</v>
      </c>
    </row>
    <row r="951" spans="1:8" x14ac:dyDescent="0.3">
      <c r="A951" t="s">
        <v>1019</v>
      </c>
      <c r="B951" t="s">
        <v>13</v>
      </c>
      <c r="C951">
        <v>19</v>
      </c>
      <c r="D951" t="s">
        <v>17</v>
      </c>
      <c r="E951" t="str">
        <f ca="1">IF(Table1[[#This Row],[is_smoker]]=0,"non-smoker","smoker")</f>
        <v>non-smoker</v>
      </c>
      <c r="F951" t="s">
        <v>27</v>
      </c>
      <c r="G951" s="2">
        <v>0.53252032520325199</v>
      </c>
      <c r="H951" s="2">
        <v>1685.5300302227699</v>
      </c>
    </row>
    <row r="952" spans="1:8" x14ac:dyDescent="0.3">
      <c r="A952" t="s">
        <v>1020</v>
      </c>
      <c r="B952" t="s">
        <v>29</v>
      </c>
      <c r="C952">
        <v>19</v>
      </c>
      <c r="D952" t="s">
        <v>17</v>
      </c>
      <c r="E952" t="str">
        <f ca="1">IF(Table1[[#This Row],[is_smoker]]=0,"non-smoker","smoker")</f>
        <v>smoker</v>
      </c>
      <c r="F952" t="s">
        <v>11</v>
      </c>
      <c r="G952" s="2">
        <v>1.1544715447154399</v>
      </c>
      <c r="H952" s="2">
        <v>3924.2001584611598</v>
      </c>
    </row>
    <row r="953" spans="1:8" x14ac:dyDescent="0.3">
      <c r="A953" t="s">
        <v>1021</v>
      </c>
      <c r="B953" t="s">
        <v>29</v>
      </c>
      <c r="C953">
        <v>59</v>
      </c>
      <c r="D953" t="s">
        <v>17</v>
      </c>
      <c r="E953" t="str">
        <f ca="1">IF(Table1[[#This Row],[is_smoker]]=0,"non-smoker","smoker")</f>
        <v>non-smoker</v>
      </c>
      <c r="F953" t="s">
        <v>27</v>
      </c>
      <c r="G953" s="2">
        <v>0.53252032520325199</v>
      </c>
      <c r="H953" s="2">
        <v>1267.4824283181299</v>
      </c>
    </row>
    <row r="954" spans="1:8" x14ac:dyDescent="0.3">
      <c r="A954" s="1" t="s">
        <v>1022</v>
      </c>
      <c r="B954" t="s">
        <v>16</v>
      </c>
      <c r="C954">
        <v>36</v>
      </c>
      <c r="D954" t="s">
        <v>17</v>
      </c>
      <c r="E954" t="str">
        <f ca="1">IF(Table1[[#This Row],[is_smoker]]=0,"non-smoker","smoker")</f>
        <v>non-smoker</v>
      </c>
      <c r="F954" t="s">
        <v>2004</v>
      </c>
      <c r="G954" s="2">
        <v>1.2073170731707299</v>
      </c>
      <c r="H954" s="2">
        <v>3385.3920155488299</v>
      </c>
    </row>
    <row r="955" spans="1:8" x14ac:dyDescent="0.3">
      <c r="A955" t="s">
        <v>1023</v>
      </c>
      <c r="B955" t="s">
        <v>113</v>
      </c>
      <c r="C955">
        <v>25</v>
      </c>
      <c r="D955" t="s">
        <v>17</v>
      </c>
      <c r="E955" t="str">
        <f ca="1">IF(Table1[[#This Row],[is_smoker]]=0,"non-smoker","smoker")</f>
        <v>non-smoker</v>
      </c>
      <c r="F955" t="s">
        <v>24</v>
      </c>
      <c r="G955" s="2">
        <v>1.70325203252032</v>
      </c>
      <c r="H955" s="2">
        <v>5165.4723329804401</v>
      </c>
    </row>
    <row r="956" spans="1:8" x14ac:dyDescent="0.3">
      <c r="A956" s="1" t="s">
        <v>1024</v>
      </c>
      <c r="B956" t="s">
        <v>85</v>
      </c>
      <c r="C956">
        <v>48</v>
      </c>
      <c r="D956" t="s">
        <v>17</v>
      </c>
      <c r="E956" t="str">
        <f ca="1">IF(Table1[[#This Row],[is_smoker]]=0,"non-smoker","smoker")</f>
        <v>non-smoker</v>
      </c>
      <c r="F956" t="s">
        <v>14</v>
      </c>
      <c r="G956" s="2">
        <v>0.66666666666666596</v>
      </c>
      <c r="H956" s="2">
        <v>1716.1608884915599</v>
      </c>
    </row>
    <row r="957" spans="1:8" x14ac:dyDescent="0.3">
      <c r="A957" t="s">
        <v>1025</v>
      </c>
      <c r="B957" t="s">
        <v>166</v>
      </c>
      <c r="C957">
        <v>45</v>
      </c>
      <c r="D957" t="s">
        <v>17</v>
      </c>
      <c r="E957" t="str">
        <f ca="1">IF(Table1[[#This Row],[is_smoker]]=0,"non-smoker","smoker")</f>
        <v>non-smoker</v>
      </c>
      <c r="F957" t="s">
        <v>56</v>
      </c>
      <c r="G957" s="2">
        <v>0.19512195121951201</v>
      </c>
      <c r="H957" s="2">
        <v>513.14485695312806</v>
      </c>
    </row>
    <row r="958" spans="1:8" x14ac:dyDescent="0.3">
      <c r="A958" s="1" t="s">
        <v>1026</v>
      </c>
      <c r="B958" t="s">
        <v>13</v>
      </c>
      <c r="C958">
        <v>55</v>
      </c>
      <c r="D958" t="s">
        <v>10</v>
      </c>
      <c r="E958" t="str">
        <f ca="1">IF(Table1[[#This Row],[is_smoker]]=0,"non-smoker","smoker")</f>
        <v>non-smoker</v>
      </c>
      <c r="F958" t="s">
        <v>14</v>
      </c>
      <c r="G958" s="2">
        <v>0.66666666666666596</v>
      </c>
      <c r="H958" s="2">
        <v>567.153394370569</v>
      </c>
    </row>
    <row r="959" spans="1:8" x14ac:dyDescent="0.3">
      <c r="A959" t="s">
        <v>1027</v>
      </c>
      <c r="B959" t="s">
        <v>13</v>
      </c>
      <c r="C959">
        <v>59</v>
      </c>
      <c r="D959" t="s">
        <v>17</v>
      </c>
      <c r="E959" t="str">
        <f ca="1">IF(Table1[[#This Row],[is_smoker]]=0,"non-smoker","smoker")</f>
        <v>non-smoker</v>
      </c>
      <c r="F959" t="s">
        <v>11</v>
      </c>
      <c r="G959" s="2">
        <v>1.1544715447154399</v>
      </c>
      <c r="H959" s="2">
        <v>2747.8245010866399</v>
      </c>
    </row>
    <row r="960" spans="1:8" x14ac:dyDescent="0.3">
      <c r="A960" t="s">
        <v>1028</v>
      </c>
      <c r="B960" t="s">
        <v>78</v>
      </c>
      <c r="C960">
        <v>44</v>
      </c>
      <c r="D960" t="s">
        <v>10</v>
      </c>
      <c r="E960" t="str">
        <f ca="1">IF(Table1[[#This Row],[is_smoker]]=0,"non-smoker","smoker")</f>
        <v>non-smoker</v>
      </c>
      <c r="F960" t="s">
        <v>14</v>
      </c>
      <c r="G960" s="2">
        <v>0.66666666666666596</v>
      </c>
      <c r="H960" s="2">
        <v>613.40037359173596</v>
      </c>
    </row>
    <row r="961" spans="1:8" x14ac:dyDescent="0.3">
      <c r="A961" t="s">
        <v>1029</v>
      </c>
      <c r="B961" t="s">
        <v>37</v>
      </c>
      <c r="C961">
        <v>38</v>
      </c>
      <c r="D961" t="s">
        <v>17</v>
      </c>
      <c r="E961" t="str">
        <f ca="1">IF(Table1[[#This Row],[is_smoker]]=0,"non-smoker","smoker")</f>
        <v>non-smoker</v>
      </c>
      <c r="F961" t="s">
        <v>44</v>
      </c>
      <c r="G961" s="2">
        <v>1.1341463414634101</v>
      </c>
      <c r="H961" s="2">
        <v>3135.2125735232198</v>
      </c>
    </row>
    <row r="962" spans="1:8" x14ac:dyDescent="0.3">
      <c r="A962" t="s">
        <v>1030</v>
      </c>
      <c r="B962" t="s">
        <v>43</v>
      </c>
      <c r="C962">
        <v>29</v>
      </c>
      <c r="D962" t="s">
        <v>17</v>
      </c>
      <c r="E962" t="str">
        <f ca="1">IF(Table1[[#This Row],[is_smoker]]=0,"non-smoker","smoker")</f>
        <v>non-smoker</v>
      </c>
      <c r="F962" t="s">
        <v>61</v>
      </c>
      <c r="G962" s="2">
        <v>1.61788617886178</v>
      </c>
      <c r="H962" s="2">
        <v>4768.69596353624</v>
      </c>
    </row>
    <row r="963" spans="1:8" x14ac:dyDescent="0.3">
      <c r="A963" t="s">
        <v>1031</v>
      </c>
      <c r="B963" t="s">
        <v>23</v>
      </c>
      <c r="C963">
        <v>51</v>
      </c>
      <c r="D963" t="s">
        <v>10</v>
      </c>
      <c r="E963" t="str">
        <f ca="1">IF(Table1[[#This Row],[is_smoker]]=0,"non-smoker","smoker")</f>
        <v>non-smoker</v>
      </c>
      <c r="F963" t="s">
        <v>56</v>
      </c>
      <c r="G963" s="2">
        <v>0.19512195121951201</v>
      </c>
      <c r="H963" s="2">
        <v>170.79587584436999</v>
      </c>
    </row>
    <row r="964" spans="1:8" x14ac:dyDescent="0.3">
      <c r="A964" t="s">
        <v>1032</v>
      </c>
      <c r="B964" t="s">
        <v>29</v>
      </c>
      <c r="C964">
        <v>39</v>
      </c>
      <c r="D964" t="s">
        <v>10</v>
      </c>
      <c r="E964" t="str">
        <f ca="1">IF(Table1[[#This Row],[is_smoker]]=0,"non-smoker","smoker")</f>
        <v>non-smoker</v>
      </c>
      <c r="F964" t="s">
        <v>19</v>
      </c>
      <c r="G964" s="2">
        <v>1.11788617886178</v>
      </c>
      <c r="H964" s="2">
        <v>1065.87726862367</v>
      </c>
    </row>
    <row r="965" spans="1:8" x14ac:dyDescent="0.3">
      <c r="A965" t="s">
        <v>1033</v>
      </c>
      <c r="B965" t="s">
        <v>23</v>
      </c>
      <c r="C965">
        <v>37</v>
      </c>
      <c r="D965" t="s">
        <v>17</v>
      </c>
      <c r="E965" t="str">
        <f ca="1">IF(Table1[[#This Row],[is_smoker]]=0,"non-smoker","smoker")</f>
        <v>non-smoker</v>
      </c>
      <c r="F965" t="s">
        <v>11</v>
      </c>
      <c r="G965" s="2">
        <v>1.1544715447154399</v>
      </c>
      <c r="H965" s="2">
        <v>3214.2229125702002</v>
      </c>
    </row>
    <row r="966" spans="1:8" x14ac:dyDescent="0.3">
      <c r="A966" t="s">
        <v>1034</v>
      </c>
      <c r="B966" t="s">
        <v>31</v>
      </c>
      <c r="C966">
        <v>18</v>
      </c>
      <c r="D966" t="s">
        <v>17</v>
      </c>
      <c r="E966" t="str">
        <f ca="1">IF(Table1[[#This Row],[is_smoker]]=0,"non-smoker","smoker")</f>
        <v>non-smoker</v>
      </c>
      <c r="F966" t="s">
        <v>56</v>
      </c>
      <c r="G966" s="2">
        <v>0.19512195121951201</v>
      </c>
      <c r="H966" s="2">
        <v>622.01563308851996</v>
      </c>
    </row>
    <row r="967" spans="1:8" x14ac:dyDescent="0.3">
      <c r="A967" t="s">
        <v>1035</v>
      </c>
      <c r="B967" t="s">
        <v>16</v>
      </c>
      <c r="C967">
        <v>38</v>
      </c>
      <c r="D967" t="s">
        <v>17</v>
      </c>
      <c r="E967" t="str">
        <f ca="1">IF(Table1[[#This Row],[is_smoker]]=0,"non-smoker","smoker")</f>
        <v>non-smoker</v>
      </c>
      <c r="F967" t="s">
        <v>14</v>
      </c>
      <c r="G967" s="2">
        <v>0.66666666666666596</v>
      </c>
      <c r="H967" s="2">
        <v>1842.92065253695</v>
      </c>
    </row>
    <row r="968" spans="1:8" x14ac:dyDescent="0.3">
      <c r="A968" t="s">
        <v>1036</v>
      </c>
      <c r="B968" t="s">
        <v>60</v>
      </c>
      <c r="C968">
        <v>58</v>
      </c>
      <c r="D968" t="s">
        <v>17</v>
      </c>
      <c r="E968" t="str">
        <f ca="1">IF(Table1[[#This Row],[is_smoker]]=0,"non-smoker","smoker")</f>
        <v>non-smoker</v>
      </c>
      <c r="F968" t="s">
        <v>44</v>
      </c>
      <c r="G968" s="2">
        <v>1.1341463414634101</v>
      </c>
      <c r="H968" s="2">
        <v>2718.7527809369899</v>
      </c>
    </row>
    <row r="969" spans="1:8" x14ac:dyDescent="0.3">
      <c r="A969" t="s">
        <v>1037</v>
      </c>
      <c r="B969" t="s">
        <v>113</v>
      </c>
      <c r="C969">
        <v>31</v>
      </c>
      <c r="D969" t="s">
        <v>10</v>
      </c>
      <c r="E969" t="str">
        <f ca="1">IF(Table1[[#This Row],[is_smoker]]=0,"non-smoker","smoker")</f>
        <v>non-smoker</v>
      </c>
      <c r="F969" t="s">
        <v>48</v>
      </c>
      <c r="G969" s="2">
        <v>0.46341463414634099</v>
      </c>
      <c r="H969" s="2">
        <v>467.77635700036097</v>
      </c>
    </row>
    <row r="970" spans="1:8" x14ac:dyDescent="0.3">
      <c r="A970" t="s">
        <v>1038</v>
      </c>
      <c r="B970" t="s">
        <v>33</v>
      </c>
      <c r="C970">
        <v>58</v>
      </c>
      <c r="D970" t="s">
        <v>10</v>
      </c>
      <c r="E970" t="str">
        <f ca="1">IF(Table1[[#This Row],[is_smoker]]=0,"non-smoker","smoker")</f>
        <v>non-smoker</v>
      </c>
      <c r="F970" t="s">
        <v>24</v>
      </c>
      <c r="G970" s="2">
        <v>1.70325203252032</v>
      </c>
      <c r="H970" s="2">
        <v>1418.3588391189201</v>
      </c>
    </row>
    <row r="971" spans="1:8" x14ac:dyDescent="0.3">
      <c r="A971" t="s">
        <v>1039</v>
      </c>
      <c r="B971" t="s">
        <v>16</v>
      </c>
      <c r="C971">
        <v>51</v>
      </c>
      <c r="D971" t="s">
        <v>17</v>
      </c>
      <c r="E971" t="str">
        <f ca="1">IF(Table1[[#This Row],[is_smoker]]=0,"non-smoker","smoker")</f>
        <v>non-smoker</v>
      </c>
      <c r="F971" t="s">
        <v>19</v>
      </c>
      <c r="G971" s="2">
        <v>1.11788617886178</v>
      </c>
      <c r="H971" s="2">
        <v>2816.8404905964799</v>
      </c>
    </row>
    <row r="972" spans="1:8" x14ac:dyDescent="0.3">
      <c r="A972" t="s">
        <v>1040</v>
      </c>
      <c r="B972" t="s">
        <v>60</v>
      </c>
      <c r="C972">
        <v>22</v>
      </c>
      <c r="D972" t="s">
        <v>17</v>
      </c>
      <c r="E972" t="str">
        <f ca="1">IF(Table1[[#This Row],[is_smoker]]=0,"non-smoker","smoker")</f>
        <v>non-smoker</v>
      </c>
      <c r="F972" t="s">
        <v>24</v>
      </c>
      <c r="G972" s="2">
        <v>1.70325203252032</v>
      </c>
      <c r="H972" s="2">
        <v>5277.0915762365903</v>
      </c>
    </row>
    <row r="973" spans="1:8" x14ac:dyDescent="0.3">
      <c r="A973" s="1" t="s">
        <v>1041</v>
      </c>
      <c r="B973" t="s">
        <v>13</v>
      </c>
      <c r="C973">
        <v>53</v>
      </c>
      <c r="D973" t="s">
        <v>10</v>
      </c>
      <c r="E973" t="str">
        <f ca="1">IF(Table1[[#This Row],[is_smoker]]=0,"non-smoker","smoker")</f>
        <v>non-smoker</v>
      </c>
      <c r="F973" t="s">
        <v>56</v>
      </c>
      <c r="G973" s="2">
        <v>0.19512195121951201</v>
      </c>
      <c r="H973" s="2">
        <v>168.37889392933701</v>
      </c>
    </row>
    <row r="974" spans="1:8" x14ac:dyDescent="0.3">
      <c r="A974" t="s">
        <v>1042</v>
      </c>
      <c r="B974" t="s">
        <v>60</v>
      </c>
      <c r="C974">
        <v>51</v>
      </c>
      <c r="D974" t="s">
        <v>17</v>
      </c>
      <c r="E974" t="str">
        <f ca="1">IF(Table1[[#This Row],[is_smoker]]=0,"non-smoker","smoker")</f>
        <v>non-smoker</v>
      </c>
      <c r="F974" t="s">
        <v>44</v>
      </c>
      <c r="G974" s="2">
        <v>1.1341463414634101</v>
      </c>
      <c r="H974" s="2">
        <v>2857.81271591425</v>
      </c>
    </row>
    <row r="975" spans="1:8" x14ac:dyDescent="0.3">
      <c r="A975" t="s">
        <v>1043</v>
      </c>
      <c r="B975" t="s">
        <v>23</v>
      </c>
      <c r="C975">
        <v>53</v>
      </c>
      <c r="D975" t="s">
        <v>10</v>
      </c>
      <c r="E975" t="str">
        <f ca="1">IF(Table1[[#This Row],[is_smoker]]=0,"non-smoker","smoker")</f>
        <v>non-smoker</v>
      </c>
      <c r="F975" t="s">
        <v>44</v>
      </c>
      <c r="G975" s="2">
        <v>1.1341463414634101</v>
      </c>
      <c r="H975" s="2">
        <v>978.70232096427401</v>
      </c>
    </row>
    <row r="976" spans="1:8" x14ac:dyDescent="0.3">
      <c r="A976" t="s">
        <v>1044</v>
      </c>
      <c r="B976" t="s">
        <v>29</v>
      </c>
      <c r="C976">
        <v>43</v>
      </c>
      <c r="D976" t="s">
        <v>10</v>
      </c>
      <c r="E976" t="str">
        <f ca="1">IF(Table1[[#This Row],[is_smoker]]=0,"non-smoker","smoker")</f>
        <v>non-smoker</v>
      </c>
      <c r="F976" t="s">
        <v>14</v>
      </c>
      <c r="G976" s="2">
        <v>0.66666666666666596</v>
      </c>
      <c r="H976" s="2">
        <v>617.78719142530394</v>
      </c>
    </row>
    <row r="977" spans="1:8" x14ac:dyDescent="0.3">
      <c r="A977" t="s">
        <v>1045</v>
      </c>
      <c r="B977" t="s">
        <v>245</v>
      </c>
      <c r="C977">
        <v>65</v>
      </c>
      <c r="D977" t="s">
        <v>17</v>
      </c>
      <c r="E977" t="str">
        <f ca="1">IF(Table1[[#This Row],[is_smoker]]=0,"non-smoker","smoker")</f>
        <v>non-smoker</v>
      </c>
      <c r="F977" t="s">
        <v>2004</v>
      </c>
      <c r="G977" s="2">
        <v>1.2073170731707299</v>
      </c>
      <c r="H977" s="2">
        <v>2753.3277935842002</v>
      </c>
    </row>
    <row r="978" spans="1:8" x14ac:dyDescent="0.3">
      <c r="A978" t="s">
        <v>1046</v>
      </c>
      <c r="B978" t="s">
        <v>23</v>
      </c>
      <c r="C978">
        <v>27</v>
      </c>
      <c r="D978" t="s">
        <v>17</v>
      </c>
      <c r="E978" t="str">
        <f ca="1">IF(Table1[[#This Row],[is_smoker]]=0,"non-smoker","smoker")</f>
        <v>non-smoker</v>
      </c>
      <c r="F978" t="s">
        <v>14</v>
      </c>
      <c r="G978" s="2">
        <v>0.66666666666666596</v>
      </c>
      <c r="H978" s="2">
        <v>1993.1965989918299</v>
      </c>
    </row>
    <row r="979" spans="1:8" x14ac:dyDescent="0.3">
      <c r="A979" t="s">
        <v>1047</v>
      </c>
      <c r="B979" t="s">
        <v>63</v>
      </c>
      <c r="C979">
        <v>35</v>
      </c>
      <c r="D979" t="s">
        <v>10</v>
      </c>
      <c r="E979" t="str">
        <f ca="1">IF(Table1[[#This Row],[is_smoker]]=0,"non-smoker","smoker")</f>
        <v>non-smoker</v>
      </c>
      <c r="F979" t="s">
        <v>2004</v>
      </c>
      <c r="G979" s="2">
        <v>1.2073170731707299</v>
      </c>
      <c r="H979" s="2">
        <v>1184.43275894827</v>
      </c>
    </row>
    <row r="980" spans="1:8" x14ac:dyDescent="0.3">
      <c r="A980" t="s">
        <v>1048</v>
      </c>
      <c r="B980" t="s">
        <v>60</v>
      </c>
      <c r="C980">
        <v>24</v>
      </c>
      <c r="D980" t="s">
        <v>10</v>
      </c>
      <c r="E980" t="str">
        <f ca="1">IF(Table1[[#This Row],[is_smoker]]=0,"non-smoker","smoker")</f>
        <v>non-smoker</v>
      </c>
      <c r="F980" t="s">
        <v>2004</v>
      </c>
      <c r="G980" s="2">
        <v>1.2073170731707299</v>
      </c>
      <c r="H980" s="2">
        <v>1281.01410314131</v>
      </c>
    </row>
    <row r="981" spans="1:8" x14ac:dyDescent="0.3">
      <c r="A981" t="s">
        <v>1049</v>
      </c>
      <c r="B981" t="s">
        <v>33</v>
      </c>
      <c r="C981">
        <v>48</v>
      </c>
      <c r="D981" t="s">
        <v>10</v>
      </c>
      <c r="E981" t="str">
        <f ca="1">IF(Table1[[#This Row],[is_smoker]]=0,"non-smoker","smoker")</f>
        <v>non-smoker</v>
      </c>
      <c r="F981" t="s">
        <v>19</v>
      </c>
      <c r="G981" s="2">
        <v>1.11788617886178</v>
      </c>
      <c r="H981" s="2">
        <v>999.66256061546301</v>
      </c>
    </row>
    <row r="982" spans="1:8" x14ac:dyDescent="0.3">
      <c r="A982" t="s">
        <v>1050</v>
      </c>
      <c r="B982" t="s">
        <v>43</v>
      </c>
      <c r="C982">
        <v>35</v>
      </c>
      <c r="D982" t="s">
        <v>17</v>
      </c>
      <c r="E982" t="str">
        <f ca="1">IF(Table1[[#This Row],[is_smoker]]=0,"non-smoker","smoker")</f>
        <v>non-smoker</v>
      </c>
      <c r="F982" t="s">
        <v>14</v>
      </c>
      <c r="G982" s="2">
        <v>0.66666666666666596</v>
      </c>
      <c r="H982" s="2">
        <v>1882.7438081666701</v>
      </c>
    </row>
    <row r="983" spans="1:8" x14ac:dyDescent="0.3">
      <c r="A983" t="s">
        <v>1051</v>
      </c>
      <c r="B983" t="s">
        <v>60</v>
      </c>
      <c r="C983">
        <v>60</v>
      </c>
      <c r="D983" t="s">
        <v>10</v>
      </c>
      <c r="E983" t="str">
        <f ca="1">IF(Table1[[#This Row],[is_smoker]]=0,"non-smoker","smoker")</f>
        <v>non-smoker</v>
      </c>
      <c r="F983" t="s">
        <v>48</v>
      </c>
      <c r="G983" s="2">
        <v>0.46341463414634099</v>
      </c>
      <c r="H983" s="2">
        <v>380.440917623497</v>
      </c>
    </row>
    <row r="984" spans="1:8" x14ac:dyDescent="0.3">
      <c r="A984" t="s">
        <v>1052</v>
      </c>
      <c r="B984" t="s">
        <v>50</v>
      </c>
      <c r="C984">
        <v>31</v>
      </c>
      <c r="D984" t="s">
        <v>10</v>
      </c>
      <c r="E984" t="str">
        <f ca="1">IF(Table1[[#This Row],[is_smoker]]=0,"non-smoker","smoker")</f>
        <v>non-smoker</v>
      </c>
      <c r="F984" t="s">
        <v>27</v>
      </c>
      <c r="G984" s="2">
        <v>0.53252032520325199</v>
      </c>
      <c r="H984" s="2">
        <v>537.53248041269501</v>
      </c>
    </row>
    <row r="985" spans="1:8" x14ac:dyDescent="0.3">
      <c r="A985" t="s">
        <v>1053</v>
      </c>
      <c r="B985" t="s">
        <v>50</v>
      </c>
      <c r="C985">
        <v>45</v>
      </c>
      <c r="D985" t="s">
        <v>17</v>
      </c>
      <c r="E985" t="str">
        <f ca="1">IF(Table1[[#This Row],[is_smoker]]=0,"non-smoker","smoker")</f>
        <v>non-smoker</v>
      </c>
      <c r="F985" t="s">
        <v>27</v>
      </c>
      <c r="G985" s="2">
        <v>0.53252032520325199</v>
      </c>
      <c r="H985" s="2">
        <v>1400.4578387679101</v>
      </c>
    </row>
    <row r="986" spans="1:8" x14ac:dyDescent="0.3">
      <c r="A986" t="s">
        <v>1054</v>
      </c>
      <c r="B986" t="s">
        <v>60</v>
      </c>
      <c r="C986">
        <v>40</v>
      </c>
      <c r="D986" t="s">
        <v>10</v>
      </c>
      <c r="E986" t="str">
        <f ca="1">IF(Table1[[#This Row],[is_smoker]]=0,"non-smoker","smoker")</f>
        <v>non-smoker</v>
      </c>
      <c r="F986" t="s">
        <v>14</v>
      </c>
      <c r="G986" s="2">
        <v>0.66666666666666596</v>
      </c>
      <c r="H986" s="2">
        <v>631.13678161862697</v>
      </c>
    </row>
    <row r="987" spans="1:8" x14ac:dyDescent="0.3">
      <c r="A987" t="s">
        <v>1055</v>
      </c>
      <c r="B987" t="s">
        <v>37</v>
      </c>
      <c r="C987">
        <v>60</v>
      </c>
      <c r="D987" t="s">
        <v>17</v>
      </c>
      <c r="E987" t="str">
        <f ca="1">IF(Table1[[#This Row],[is_smoker]]=0,"non-smoker","smoker")</f>
        <v>non-smoker</v>
      </c>
      <c r="F987" t="s">
        <v>14</v>
      </c>
      <c r="G987" s="2">
        <v>0.66666666666666596</v>
      </c>
      <c r="H987" s="2">
        <v>1575.50445639448</v>
      </c>
    </row>
    <row r="988" spans="1:8" x14ac:dyDescent="0.3">
      <c r="A988" t="s">
        <v>1056</v>
      </c>
      <c r="B988" t="s">
        <v>92</v>
      </c>
      <c r="C988">
        <v>56</v>
      </c>
      <c r="D988" t="s">
        <v>10</v>
      </c>
      <c r="E988" t="str">
        <f ca="1">IF(Table1[[#This Row],[is_smoker]]=0,"non-smoker","smoker")</f>
        <v>non-smoker</v>
      </c>
      <c r="F988" t="s">
        <v>24</v>
      </c>
      <c r="G988" s="2">
        <v>1.70325203252032</v>
      </c>
      <c r="H988" s="2">
        <v>1438.7185622598599</v>
      </c>
    </row>
    <row r="989" spans="1:8" x14ac:dyDescent="0.3">
      <c r="A989" t="s">
        <v>1057</v>
      </c>
      <c r="B989" t="s">
        <v>13</v>
      </c>
      <c r="C989">
        <v>58</v>
      </c>
      <c r="D989" t="s">
        <v>17</v>
      </c>
      <c r="E989" t="str">
        <f ca="1">IF(Table1[[#This Row],[is_smoker]]=0,"non-smoker","smoker")</f>
        <v>non-smoker</v>
      </c>
      <c r="F989" t="s">
        <v>19</v>
      </c>
      <c r="G989" s="2">
        <v>1.11788617886178</v>
      </c>
      <c r="H989" s="2">
        <v>2679.7742464432699</v>
      </c>
    </row>
    <row r="990" spans="1:8" x14ac:dyDescent="0.3">
      <c r="A990" t="s">
        <v>1058</v>
      </c>
      <c r="B990" t="s">
        <v>92</v>
      </c>
      <c r="C990">
        <v>19</v>
      </c>
      <c r="D990" t="s">
        <v>10</v>
      </c>
      <c r="E990" t="str">
        <f ca="1">IF(Table1[[#This Row],[is_smoker]]=0,"non-smoker","smoker")</f>
        <v>non-smoker</v>
      </c>
      <c r="F990" t="s">
        <v>14</v>
      </c>
      <c r="G990" s="2">
        <v>0.66666666666666596</v>
      </c>
      <c r="H990" s="2">
        <v>733.01966910958595</v>
      </c>
    </row>
    <row r="991" spans="1:8" x14ac:dyDescent="0.3">
      <c r="A991" t="s">
        <v>1059</v>
      </c>
      <c r="B991" t="s">
        <v>192</v>
      </c>
      <c r="C991">
        <v>47</v>
      </c>
      <c r="D991" t="s">
        <v>10</v>
      </c>
      <c r="E991" t="str">
        <f ca="1">IF(Table1[[#This Row],[is_smoker]]=0,"non-smoker","smoker")</f>
        <v>non-smoker</v>
      </c>
      <c r="F991" t="s">
        <v>24</v>
      </c>
      <c r="G991" s="2">
        <v>1.70325203252032</v>
      </c>
      <c r="H991" s="2">
        <v>1534.0150485535701</v>
      </c>
    </row>
    <row r="992" spans="1:8" x14ac:dyDescent="0.3">
      <c r="A992" t="s">
        <v>1060</v>
      </c>
      <c r="B992" t="s">
        <v>13</v>
      </c>
      <c r="C992">
        <v>65</v>
      </c>
      <c r="D992" t="s">
        <v>17</v>
      </c>
      <c r="E992" t="str">
        <f ca="1">IF(Table1[[#This Row],[is_smoker]]=0,"non-smoker","smoker")</f>
        <v>non-smoker</v>
      </c>
      <c r="F992" t="s">
        <v>2004</v>
      </c>
      <c r="G992" s="2">
        <v>1.2073170731707299</v>
      </c>
      <c r="H992" s="2">
        <v>2753.3277935842002</v>
      </c>
    </row>
    <row r="993" spans="1:8" x14ac:dyDescent="0.3">
      <c r="A993" t="s">
        <v>1061</v>
      </c>
      <c r="B993" t="s">
        <v>383</v>
      </c>
      <c r="C993">
        <v>39</v>
      </c>
      <c r="D993" t="s">
        <v>17</v>
      </c>
      <c r="E993" t="str">
        <f ca="1">IF(Table1[[#This Row],[is_smoker]]=0,"non-smoker","smoker")</f>
        <v>non-smoker</v>
      </c>
      <c r="F993" t="s">
        <v>44</v>
      </c>
      <c r="G993" s="2">
        <v>1.1341463414634101</v>
      </c>
      <c r="H993" s="2">
        <v>3112.9498807700302</v>
      </c>
    </row>
    <row r="994" spans="1:8" x14ac:dyDescent="0.3">
      <c r="A994" t="s">
        <v>1062</v>
      </c>
      <c r="B994" t="s">
        <v>13</v>
      </c>
      <c r="C994">
        <v>28</v>
      </c>
      <c r="D994" t="s">
        <v>17</v>
      </c>
      <c r="E994" t="str">
        <f ca="1">IF(Table1[[#This Row],[is_smoker]]=0,"non-smoker","smoker")</f>
        <v>non-smoker</v>
      </c>
      <c r="F994" t="s">
        <v>44</v>
      </c>
      <c r="G994" s="2">
        <v>1.1341463414634101</v>
      </c>
      <c r="H994" s="2">
        <v>3366.7869024319998</v>
      </c>
    </row>
    <row r="995" spans="1:8" x14ac:dyDescent="0.3">
      <c r="A995" t="s">
        <v>1063</v>
      </c>
      <c r="B995" t="s">
        <v>135</v>
      </c>
      <c r="C995">
        <v>58</v>
      </c>
      <c r="D995" t="s">
        <v>17</v>
      </c>
      <c r="E995" t="str">
        <f ca="1">IF(Table1[[#This Row],[is_smoker]]=0,"non-smoker","smoker")</f>
        <v>non-smoker</v>
      </c>
      <c r="F995" t="s">
        <v>2004</v>
      </c>
      <c r="G995" s="2">
        <v>1.2073170731707299</v>
      </c>
      <c r="H995" s="2">
        <v>2894.1561861587302</v>
      </c>
    </row>
    <row r="996" spans="1:8" x14ac:dyDescent="0.3">
      <c r="A996" t="s">
        <v>1064</v>
      </c>
      <c r="B996" t="s">
        <v>46</v>
      </c>
      <c r="C996">
        <v>43</v>
      </c>
      <c r="D996" t="s">
        <v>17</v>
      </c>
      <c r="E996" t="str">
        <f ca="1">IF(Table1[[#This Row],[is_smoker]]=0,"non-smoker","smoker")</f>
        <v>non-smoker</v>
      </c>
      <c r="F996" t="s">
        <v>11</v>
      </c>
      <c r="G996" s="2">
        <v>1.1544715447154399</v>
      </c>
      <c r="H996" s="2">
        <v>3079.6886363193398</v>
      </c>
    </row>
    <row r="997" spans="1:8" x14ac:dyDescent="0.3">
      <c r="A997" t="s">
        <v>1065</v>
      </c>
      <c r="B997" t="s">
        <v>60</v>
      </c>
      <c r="C997">
        <v>50</v>
      </c>
      <c r="D997" t="s">
        <v>10</v>
      </c>
      <c r="E997" t="str">
        <f ca="1">IF(Table1[[#This Row],[is_smoker]]=0,"non-smoker","smoker")</f>
        <v>non-smoker</v>
      </c>
      <c r="F997" t="s">
        <v>24</v>
      </c>
      <c r="G997" s="2">
        <v>1.70325203252032</v>
      </c>
      <c r="H997" s="2">
        <v>1501.56808484459</v>
      </c>
    </row>
    <row r="998" spans="1:8" x14ac:dyDescent="0.3">
      <c r="A998" t="s">
        <v>1066</v>
      </c>
      <c r="B998" t="s">
        <v>106</v>
      </c>
      <c r="C998">
        <v>54</v>
      </c>
      <c r="D998" t="s">
        <v>17</v>
      </c>
      <c r="E998" t="str">
        <f ca="1">IF(Table1[[#This Row],[is_smoker]]=0,"non-smoker","smoker")</f>
        <v>non-smoker</v>
      </c>
      <c r="F998" t="s">
        <v>24</v>
      </c>
      <c r="G998" s="2">
        <v>1.70325203252032</v>
      </c>
      <c r="H998" s="2">
        <v>4201.0610517374898</v>
      </c>
    </row>
    <row r="999" spans="1:8" x14ac:dyDescent="0.3">
      <c r="A999" t="s">
        <v>1067</v>
      </c>
      <c r="B999" t="s">
        <v>50</v>
      </c>
      <c r="C999">
        <v>48</v>
      </c>
      <c r="D999" t="s">
        <v>10</v>
      </c>
      <c r="E999" t="str">
        <f ca="1">IF(Table1[[#This Row],[is_smoker]]=0,"non-smoker","smoker")</f>
        <v>non-smoker</v>
      </c>
      <c r="F999" t="s">
        <v>2004</v>
      </c>
      <c r="G999" s="2">
        <v>1.2073170731707299</v>
      </c>
      <c r="H999" s="2">
        <v>1079.6355654647</v>
      </c>
    </row>
    <row r="1000" spans="1:8" x14ac:dyDescent="0.3">
      <c r="A1000" t="s">
        <v>1068</v>
      </c>
      <c r="B1000" t="s">
        <v>85</v>
      </c>
      <c r="C1000">
        <v>49</v>
      </c>
      <c r="D1000" t="s">
        <v>10</v>
      </c>
      <c r="E1000" t="str">
        <f ca="1">IF(Table1[[#This Row],[is_smoker]]=0,"non-smoker","smoker")</f>
        <v>non-smoker</v>
      </c>
      <c r="F1000" t="s">
        <v>48</v>
      </c>
      <c r="G1000" s="2">
        <v>0.46341463414634099</v>
      </c>
      <c r="H1000" s="2">
        <v>411.462936334576</v>
      </c>
    </row>
    <row r="1001" spans="1:8" x14ac:dyDescent="0.3">
      <c r="A1001" t="s">
        <v>1069</v>
      </c>
      <c r="B1001" t="s">
        <v>13</v>
      </c>
      <c r="C1001">
        <v>26</v>
      </c>
      <c r="D1001" t="s">
        <v>17</v>
      </c>
      <c r="E1001" t="str">
        <f ca="1">IF(Table1[[#This Row],[is_smoker]]=0,"non-smoker","smoker")</f>
        <v>non-smoker</v>
      </c>
      <c r="F1001" t="s">
        <v>61</v>
      </c>
      <c r="G1001" s="2">
        <v>1.61788617886178</v>
      </c>
      <c r="H1001" s="2">
        <v>4871.7413774802999</v>
      </c>
    </row>
    <row r="1002" spans="1:8" x14ac:dyDescent="0.3">
      <c r="A1002" t="s">
        <v>1070</v>
      </c>
      <c r="B1002" t="s">
        <v>13</v>
      </c>
      <c r="C1002">
        <v>61</v>
      </c>
      <c r="D1002" t="s">
        <v>10</v>
      </c>
      <c r="E1002" t="str">
        <f ca="1">IF(Table1[[#This Row],[is_smoker]]=0,"non-smoker","smoker")</f>
        <v>non-smoker</v>
      </c>
      <c r="F1002" t="s">
        <v>56</v>
      </c>
      <c r="G1002" s="2">
        <v>0.19512195121951201</v>
      </c>
      <c r="H1002" s="2">
        <v>159.04819430845899</v>
      </c>
    </row>
    <row r="1003" spans="1:8" x14ac:dyDescent="0.3">
      <c r="A1003" t="s">
        <v>1071</v>
      </c>
      <c r="B1003" t="s">
        <v>50</v>
      </c>
      <c r="C1003">
        <v>21</v>
      </c>
      <c r="D1003" t="s">
        <v>10</v>
      </c>
      <c r="E1003" t="str">
        <f ca="1">IF(Table1[[#This Row],[is_smoker]]=0,"non-smoker","smoker")</f>
        <v>smoker</v>
      </c>
      <c r="F1003" t="s">
        <v>2004</v>
      </c>
      <c r="G1003" s="2">
        <v>1.2073170731707299</v>
      </c>
      <c r="H1003" s="2">
        <v>1405.41995033431</v>
      </c>
    </row>
    <row r="1004" spans="1:8" x14ac:dyDescent="0.3">
      <c r="A1004" t="s">
        <v>1072</v>
      </c>
      <c r="B1004" t="s">
        <v>50</v>
      </c>
      <c r="C1004">
        <v>29</v>
      </c>
      <c r="D1004" t="s">
        <v>10</v>
      </c>
      <c r="E1004" t="str">
        <f ca="1">IF(Table1[[#This Row],[is_smoker]]=0,"non-smoker","smoker")</f>
        <v>non-smoker</v>
      </c>
      <c r="F1004" t="s">
        <v>14</v>
      </c>
      <c r="G1004" s="2">
        <v>0.66666666666666596</v>
      </c>
      <c r="H1004" s="2">
        <v>682.60111193022396</v>
      </c>
    </row>
    <row r="1005" spans="1:8" x14ac:dyDescent="0.3">
      <c r="A1005" t="s">
        <v>1073</v>
      </c>
      <c r="B1005" t="s">
        <v>13</v>
      </c>
      <c r="C1005">
        <v>34</v>
      </c>
      <c r="D1005" t="s">
        <v>17</v>
      </c>
      <c r="E1005" t="str">
        <f ca="1">IF(Table1[[#This Row],[is_smoker]]=0,"non-smoker","smoker")</f>
        <v>non-smoker</v>
      </c>
      <c r="F1005" t="s">
        <v>14</v>
      </c>
      <c r="G1005" s="2">
        <v>0.66666666666666596</v>
      </c>
      <c r="H1005" s="2">
        <v>1896.20851159576</v>
      </c>
    </row>
    <row r="1006" spans="1:8" x14ac:dyDescent="0.3">
      <c r="A1006" t="s">
        <v>1074</v>
      </c>
      <c r="B1006" t="s">
        <v>383</v>
      </c>
      <c r="C1006">
        <v>40</v>
      </c>
      <c r="D1006" t="s">
        <v>10</v>
      </c>
      <c r="E1006" t="str">
        <f ca="1">IF(Table1[[#This Row],[is_smoker]]=0,"non-smoker","smoker")</f>
        <v>non-smoker</v>
      </c>
      <c r="F1006" t="s">
        <v>19</v>
      </c>
      <c r="G1006" s="2">
        <v>1.11788617886178</v>
      </c>
      <c r="H1006" s="2">
        <v>1058.3086277141599</v>
      </c>
    </row>
    <row r="1007" spans="1:8" x14ac:dyDescent="0.3">
      <c r="A1007" t="s">
        <v>1075</v>
      </c>
      <c r="B1007" t="s">
        <v>43</v>
      </c>
      <c r="C1007">
        <v>26</v>
      </c>
      <c r="D1007" t="s">
        <v>10</v>
      </c>
      <c r="E1007" t="str">
        <f ca="1">IF(Table1[[#This Row],[is_smoker]]=0,"non-smoker","smoker")</f>
        <v>non-smoker</v>
      </c>
      <c r="F1007" t="s">
        <v>2004</v>
      </c>
      <c r="G1007" s="2">
        <v>1.2073170731707299</v>
      </c>
      <c r="H1007" s="2">
        <v>1262.8861014850099</v>
      </c>
    </row>
    <row r="1008" spans="1:8" x14ac:dyDescent="0.3">
      <c r="A1008" t="s">
        <v>1076</v>
      </c>
      <c r="B1008" t="s">
        <v>60</v>
      </c>
      <c r="C1008">
        <v>39</v>
      </c>
      <c r="D1008" t="s">
        <v>17</v>
      </c>
      <c r="E1008" t="str">
        <f ca="1">IF(Table1[[#This Row],[is_smoker]]=0,"non-smoker","smoker")</f>
        <v>non-smoker</v>
      </c>
      <c r="F1008" t="s">
        <v>19</v>
      </c>
      <c r="G1008" s="2">
        <v>1.11788617886178</v>
      </c>
      <c r="H1008" s="2">
        <v>3068.3197749525398</v>
      </c>
    </row>
    <row r="1009" spans="1:8" x14ac:dyDescent="0.3">
      <c r="A1009" t="s">
        <v>1077</v>
      </c>
      <c r="B1009" t="s">
        <v>135</v>
      </c>
      <c r="C1009">
        <v>64</v>
      </c>
      <c r="D1009" t="s">
        <v>17</v>
      </c>
      <c r="E1009" t="str">
        <f ca="1">IF(Table1[[#This Row],[is_smoker]]=0,"non-smoker","smoker")</f>
        <v>non-smoker</v>
      </c>
      <c r="F1009" t="s">
        <v>2004</v>
      </c>
      <c r="G1009" s="2">
        <v>1.2073170731707299</v>
      </c>
      <c r="H1009" s="2">
        <v>2773.0185991111498</v>
      </c>
    </row>
    <row r="1010" spans="1:8" x14ac:dyDescent="0.3">
      <c r="A1010" t="s">
        <v>1078</v>
      </c>
      <c r="B1010" t="s">
        <v>16</v>
      </c>
      <c r="C1010">
        <v>28</v>
      </c>
      <c r="D1010" t="s">
        <v>17</v>
      </c>
      <c r="E1010" t="str">
        <f ca="1">IF(Table1[[#This Row],[is_smoker]]=0,"non-smoker","smoker")</f>
        <v>non-smoker</v>
      </c>
      <c r="F1010" t="s">
        <v>24</v>
      </c>
      <c r="G1010" s="2">
        <v>1.70325203252032</v>
      </c>
      <c r="H1010" s="2">
        <v>5056.2140219319399</v>
      </c>
    </row>
    <row r="1011" spans="1:8" x14ac:dyDescent="0.3">
      <c r="A1011" t="s">
        <v>1079</v>
      </c>
      <c r="B1011" t="s">
        <v>50</v>
      </c>
      <c r="C1011">
        <v>26</v>
      </c>
      <c r="D1011" t="s">
        <v>10</v>
      </c>
      <c r="E1011" t="str">
        <f ca="1">IF(Table1[[#This Row],[is_smoker]]=0,"non-smoker","smoker")</f>
        <v>non-smoker</v>
      </c>
      <c r="F1011" t="s">
        <v>56</v>
      </c>
      <c r="G1011" s="2">
        <v>0.19512195121951201</v>
      </c>
      <c r="H1011" s="2">
        <v>204.10280428040599</v>
      </c>
    </row>
    <row r="1012" spans="1:8" x14ac:dyDescent="0.3">
      <c r="A1012" t="s">
        <v>1080</v>
      </c>
      <c r="B1012" t="s">
        <v>110</v>
      </c>
      <c r="C1012">
        <v>34</v>
      </c>
      <c r="D1012" t="s">
        <v>10</v>
      </c>
      <c r="E1012" t="str">
        <f ca="1">IF(Table1[[#This Row],[is_smoker]]=0,"non-smoker","smoker")</f>
        <v>non-smoker</v>
      </c>
      <c r="F1012" t="s">
        <v>24</v>
      </c>
      <c r="G1012" s="2">
        <v>1.70325203252032</v>
      </c>
      <c r="H1012" s="2">
        <v>1682.9175828831001</v>
      </c>
    </row>
    <row r="1013" spans="1:8" x14ac:dyDescent="0.3">
      <c r="A1013" t="s">
        <v>1081</v>
      </c>
      <c r="B1013" t="s">
        <v>128</v>
      </c>
      <c r="C1013">
        <v>39</v>
      </c>
      <c r="D1013" t="s">
        <v>17</v>
      </c>
      <c r="E1013" t="str">
        <f ca="1">IF(Table1[[#This Row],[is_smoker]]=0,"non-smoker","smoker")</f>
        <v>non-smoker</v>
      </c>
      <c r="F1013" t="s">
        <v>61</v>
      </c>
      <c r="G1013" s="2">
        <v>1.61788617886178</v>
      </c>
      <c r="H1013" s="2">
        <v>4440.6955288403997</v>
      </c>
    </row>
    <row r="1014" spans="1:8" x14ac:dyDescent="0.3">
      <c r="A1014" t="s">
        <v>1082</v>
      </c>
      <c r="B1014" t="s">
        <v>50</v>
      </c>
      <c r="C1014">
        <v>18</v>
      </c>
      <c r="D1014" t="s">
        <v>10</v>
      </c>
      <c r="E1014" t="str">
        <f ca="1">IF(Table1[[#This Row],[is_smoker]]=0,"non-smoker","smoker")</f>
        <v>non-smoker</v>
      </c>
      <c r="F1014" t="s">
        <v>44</v>
      </c>
      <c r="G1014" s="2">
        <v>1.1341463414634101</v>
      </c>
      <c r="H1014" s="2">
        <v>1255.9456530335799</v>
      </c>
    </row>
    <row r="1015" spans="1:8" x14ac:dyDescent="0.3">
      <c r="A1015" t="s">
        <v>1083</v>
      </c>
      <c r="B1015" t="s">
        <v>37</v>
      </c>
      <c r="C1015">
        <v>25</v>
      </c>
      <c r="D1015" t="s">
        <v>10</v>
      </c>
      <c r="E1015" t="str">
        <f ca="1">IF(Table1[[#This Row],[is_smoker]]=0,"non-smoker","smoker")</f>
        <v>non-smoker</v>
      </c>
      <c r="F1015" t="s">
        <v>27</v>
      </c>
      <c r="G1015" s="2">
        <v>0.53252032520325199</v>
      </c>
      <c r="H1015" s="2">
        <v>561.01425138162006</v>
      </c>
    </row>
    <row r="1016" spans="1:8" x14ac:dyDescent="0.3">
      <c r="A1016" t="s">
        <v>1084</v>
      </c>
      <c r="B1016" t="s">
        <v>29</v>
      </c>
      <c r="C1016">
        <v>50</v>
      </c>
      <c r="D1016" t="s">
        <v>10</v>
      </c>
      <c r="E1016" t="str">
        <f ca="1">IF(Table1[[#This Row],[is_smoker]]=0,"non-smoker","smoker")</f>
        <v>non-smoker</v>
      </c>
      <c r="F1016" t="s">
        <v>2004</v>
      </c>
      <c r="G1016" s="2">
        <v>1.2073170731707299</v>
      </c>
      <c r="H1016" s="2">
        <v>1064.3573298301701</v>
      </c>
    </row>
    <row r="1017" spans="1:8" x14ac:dyDescent="0.3">
      <c r="A1017" t="s">
        <v>1085</v>
      </c>
      <c r="B1017" t="s">
        <v>88</v>
      </c>
      <c r="C1017">
        <v>63</v>
      </c>
      <c r="D1017" t="s">
        <v>10</v>
      </c>
      <c r="E1017" t="str">
        <f ca="1">IF(Table1[[#This Row],[is_smoker]]=0,"non-smoker","smoker")</f>
        <v>non-smoker</v>
      </c>
      <c r="F1017" t="s">
        <v>61</v>
      </c>
      <c r="G1017" s="2">
        <v>1.61788617886178</v>
      </c>
      <c r="H1017" s="2">
        <v>1300.1122495975501</v>
      </c>
    </row>
    <row r="1018" spans="1:8" x14ac:dyDescent="0.3">
      <c r="A1018" t="s">
        <v>1086</v>
      </c>
      <c r="B1018" t="s">
        <v>113</v>
      </c>
      <c r="C1018">
        <v>43</v>
      </c>
      <c r="D1018" t="s">
        <v>17</v>
      </c>
      <c r="E1018" t="str">
        <f ca="1">IF(Table1[[#This Row],[is_smoker]]=0,"non-smoker","smoker")</f>
        <v>non-smoker</v>
      </c>
      <c r="F1018" t="s">
        <v>44</v>
      </c>
      <c r="G1018" s="2">
        <v>1.1341463414634101</v>
      </c>
      <c r="H1018" s="2">
        <v>3025.4687659616102</v>
      </c>
    </row>
    <row r="1019" spans="1:8" x14ac:dyDescent="0.3">
      <c r="A1019" t="s">
        <v>1087</v>
      </c>
      <c r="B1019" t="s">
        <v>29</v>
      </c>
      <c r="C1019">
        <v>44</v>
      </c>
      <c r="D1019" t="s">
        <v>10</v>
      </c>
      <c r="E1019" t="str">
        <f ca="1">IF(Table1[[#This Row],[is_smoker]]=0,"non-smoker","smoker")</f>
        <v>non-smoker</v>
      </c>
      <c r="F1019" t="s">
        <v>11</v>
      </c>
      <c r="G1019" s="2">
        <v>1.1544715447154399</v>
      </c>
      <c r="H1019" s="2">
        <v>1062.2299152442199</v>
      </c>
    </row>
    <row r="1020" spans="1:8" x14ac:dyDescent="0.3">
      <c r="A1020" t="s">
        <v>1088</v>
      </c>
      <c r="B1020" t="s">
        <v>92</v>
      </c>
      <c r="C1020">
        <v>34</v>
      </c>
      <c r="D1020" t="s">
        <v>10</v>
      </c>
      <c r="E1020" t="str">
        <f ca="1">IF(Table1[[#This Row],[is_smoker]]=0,"non-smoker","smoker")</f>
        <v>non-smoker</v>
      </c>
      <c r="F1020" t="s">
        <v>56</v>
      </c>
      <c r="G1020" s="2">
        <v>0.19512195121951201</v>
      </c>
      <c r="H1020" s="2">
        <v>192.79246772885099</v>
      </c>
    </row>
    <row r="1021" spans="1:8" x14ac:dyDescent="0.3">
      <c r="A1021" t="s">
        <v>1089</v>
      </c>
      <c r="B1021" t="s">
        <v>16</v>
      </c>
      <c r="C1021">
        <v>43</v>
      </c>
      <c r="D1021" t="s">
        <v>17</v>
      </c>
      <c r="E1021" t="str">
        <f ca="1">IF(Table1[[#This Row],[is_smoker]]=0,"non-smoker","smoker")</f>
        <v>non-smoker</v>
      </c>
      <c r="F1021" t="s">
        <v>19</v>
      </c>
      <c r="G1021" s="2">
        <v>1.11788617886178</v>
      </c>
      <c r="H1021" s="2">
        <v>2982.0928696754199</v>
      </c>
    </row>
    <row r="1022" spans="1:8" x14ac:dyDescent="0.3">
      <c r="A1022" t="s">
        <v>1090</v>
      </c>
      <c r="B1022" t="s">
        <v>16</v>
      </c>
      <c r="C1022">
        <v>29</v>
      </c>
      <c r="D1022" t="s">
        <v>10</v>
      </c>
      <c r="E1022" t="str">
        <f ca="1">IF(Table1[[#This Row],[is_smoker]]=0,"non-smoker","smoker")</f>
        <v>non-smoker</v>
      </c>
      <c r="F1022" t="s">
        <v>19</v>
      </c>
      <c r="G1022" s="2">
        <v>1.11788617886178</v>
      </c>
      <c r="H1022" s="2">
        <v>1144.6055230537299</v>
      </c>
    </row>
    <row r="1023" spans="1:8" x14ac:dyDescent="0.3">
      <c r="A1023" t="s">
        <v>1091</v>
      </c>
      <c r="B1023" t="s">
        <v>13</v>
      </c>
      <c r="C1023">
        <v>60</v>
      </c>
      <c r="D1023" t="s">
        <v>17</v>
      </c>
      <c r="E1023" t="str">
        <f ca="1">IF(Table1[[#This Row],[is_smoker]]=0,"non-smoker","smoker")</f>
        <v>non-smoker</v>
      </c>
      <c r="F1023" t="s">
        <v>24</v>
      </c>
      <c r="G1023" s="2">
        <v>1.70325203252032</v>
      </c>
      <c r="H1023" s="2">
        <v>4025.22175139811</v>
      </c>
    </row>
    <row r="1024" spans="1:8" x14ac:dyDescent="0.3">
      <c r="A1024" t="s">
        <v>1092</v>
      </c>
      <c r="B1024" t="s">
        <v>50</v>
      </c>
      <c r="C1024">
        <v>64</v>
      </c>
      <c r="D1024" t="s">
        <v>10</v>
      </c>
      <c r="E1024" t="str">
        <f ca="1">IF(Table1[[#This Row],[is_smoker]]=0,"non-smoker","smoker")</f>
        <v>non-smoker</v>
      </c>
      <c r="F1024" t="s">
        <v>14</v>
      </c>
      <c r="G1024" s="2">
        <v>0.66666666666666596</v>
      </c>
      <c r="H1024" s="2">
        <v>531.92054204358101</v>
      </c>
    </row>
    <row r="1025" spans="1:8" x14ac:dyDescent="0.3">
      <c r="A1025" t="s">
        <v>1093</v>
      </c>
      <c r="B1025" t="s">
        <v>166</v>
      </c>
      <c r="C1025">
        <v>26</v>
      </c>
      <c r="D1025" t="s">
        <v>10</v>
      </c>
      <c r="E1025" t="str">
        <f ca="1">IF(Table1[[#This Row],[is_smoker]]=0,"non-smoker","smoker")</f>
        <v>non-smoker</v>
      </c>
      <c r="F1025" t="s">
        <v>44</v>
      </c>
      <c r="G1025" s="2">
        <v>1.1341463414634101</v>
      </c>
      <c r="H1025" s="2">
        <v>1186.34754987986</v>
      </c>
    </row>
    <row r="1026" spans="1:8" x14ac:dyDescent="0.3">
      <c r="A1026" t="s">
        <v>1094</v>
      </c>
      <c r="B1026" t="s">
        <v>60</v>
      </c>
      <c r="C1026">
        <v>57</v>
      </c>
      <c r="D1026" t="s">
        <v>17</v>
      </c>
      <c r="E1026" t="str">
        <f ca="1">IF(Table1[[#This Row],[is_smoker]]=0,"non-smoker","smoker")</f>
        <v>non-smoker</v>
      </c>
      <c r="F1026" t="s">
        <v>11</v>
      </c>
      <c r="G1026" s="2">
        <v>1.1544715447154399</v>
      </c>
      <c r="H1026" s="2">
        <v>2787.2679370768901</v>
      </c>
    </row>
    <row r="1027" spans="1:8" x14ac:dyDescent="0.3">
      <c r="A1027" t="s">
        <v>1095</v>
      </c>
      <c r="B1027" t="s">
        <v>43</v>
      </c>
      <c r="C1027">
        <v>27</v>
      </c>
      <c r="D1027" t="s">
        <v>17</v>
      </c>
      <c r="E1027" t="str">
        <f ca="1">IF(Table1[[#This Row],[is_smoker]]=0,"non-smoker","smoker")</f>
        <v>non-smoker</v>
      </c>
      <c r="F1027" t="s">
        <v>61</v>
      </c>
      <c r="G1027" s="2">
        <v>1.61788617886178</v>
      </c>
      <c r="H1027" s="2">
        <v>4837.1478438948097</v>
      </c>
    </row>
    <row r="1028" spans="1:8" x14ac:dyDescent="0.3">
      <c r="A1028" t="s">
        <v>1096</v>
      </c>
      <c r="B1028" t="s">
        <v>37</v>
      </c>
      <c r="C1028">
        <v>22</v>
      </c>
      <c r="D1028" t="s">
        <v>10</v>
      </c>
      <c r="E1028" t="str">
        <f ca="1">IF(Table1[[#This Row],[is_smoker]]=0,"non-smoker","smoker")</f>
        <v>non-smoker</v>
      </c>
      <c r="F1028" t="s">
        <v>56</v>
      </c>
      <c r="G1028" s="2">
        <v>0.19512195121951201</v>
      </c>
      <c r="H1028" s="2">
        <v>210.00441564551301</v>
      </c>
    </row>
    <row r="1029" spans="1:8" x14ac:dyDescent="0.3">
      <c r="A1029" t="s">
        <v>1097</v>
      </c>
      <c r="B1029" t="s">
        <v>29</v>
      </c>
      <c r="C1029">
        <v>61</v>
      </c>
      <c r="D1029" t="s">
        <v>10</v>
      </c>
      <c r="E1029" t="str">
        <f ca="1">IF(Table1[[#This Row],[is_smoker]]=0,"non-smoker","smoker")</f>
        <v>non-smoker</v>
      </c>
      <c r="F1029" t="s">
        <v>44</v>
      </c>
      <c r="G1029" s="2">
        <v>1.1341463414634101</v>
      </c>
      <c r="H1029" s="2">
        <v>924.46762941791997</v>
      </c>
    </row>
    <row r="1030" spans="1:8" x14ac:dyDescent="0.3">
      <c r="A1030" t="s">
        <v>1098</v>
      </c>
      <c r="B1030" t="s">
        <v>110</v>
      </c>
      <c r="C1030">
        <v>43</v>
      </c>
      <c r="D1030" t="s">
        <v>17</v>
      </c>
      <c r="E1030" t="str">
        <f ca="1">IF(Table1[[#This Row],[is_smoker]]=0,"non-smoker","smoker")</f>
        <v>non-smoker</v>
      </c>
      <c r="F1030" t="s">
        <v>11</v>
      </c>
      <c r="G1030" s="2">
        <v>1.1544715447154399</v>
      </c>
      <c r="H1030" s="2">
        <v>3079.6886363193398</v>
      </c>
    </row>
    <row r="1031" spans="1:8" x14ac:dyDescent="0.3">
      <c r="A1031" t="s">
        <v>1099</v>
      </c>
      <c r="B1031" t="s">
        <v>60</v>
      </c>
      <c r="C1031">
        <v>60</v>
      </c>
      <c r="D1031" t="s">
        <v>17</v>
      </c>
      <c r="E1031" t="str">
        <f ca="1">IF(Table1[[#This Row],[is_smoker]]=0,"non-smoker","smoker")</f>
        <v>non-smoker</v>
      </c>
      <c r="F1031" t="s">
        <v>27</v>
      </c>
      <c r="G1031" s="2">
        <v>0.53252032520325199</v>
      </c>
      <c r="H1031" s="2">
        <v>1258.4822182175401</v>
      </c>
    </row>
    <row r="1032" spans="1:8" x14ac:dyDescent="0.3">
      <c r="A1032" t="s">
        <v>1100</v>
      </c>
      <c r="B1032" t="s">
        <v>13</v>
      </c>
      <c r="C1032">
        <v>57</v>
      </c>
      <c r="D1032" t="s">
        <v>17</v>
      </c>
      <c r="E1032" t="str">
        <f ca="1">IF(Table1[[#This Row],[is_smoker]]=0,"non-smoker","smoker")</f>
        <v>non-smoker</v>
      </c>
      <c r="F1032" t="s">
        <v>2004</v>
      </c>
      <c r="G1032" s="2">
        <v>1.2073170731707299</v>
      </c>
      <c r="H1032" s="2">
        <v>2914.85414546422</v>
      </c>
    </row>
    <row r="1033" spans="1:8" x14ac:dyDescent="0.3">
      <c r="A1033" t="s">
        <v>1101</v>
      </c>
      <c r="B1033" t="s">
        <v>178</v>
      </c>
      <c r="C1033">
        <v>34</v>
      </c>
      <c r="D1033" t="s">
        <v>17</v>
      </c>
      <c r="E1033" t="str">
        <f ca="1">IF(Table1[[#This Row],[is_smoker]]=0,"non-smoker","smoker")</f>
        <v>non-smoker</v>
      </c>
      <c r="F1033" t="s">
        <v>19</v>
      </c>
      <c r="G1033" s="2">
        <v>1.11788617886178</v>
      </c>
      <c r="H1033" s="2">
        <v>3179.6179310294701</v>
      </c>
    </row>
    <row r="1034" spans="1:8" x14ac:dyDescent="0.3">
      <c r="A1034" t="s">
        <v>1102</v>
      </c>
      <c r="B1034" t="s">
        <v>13</v>
      </c>
      <c r="C1034">
        <v>36</v>
      </c>
      <c r="D1034" t="s">
        <v>10</v>
      </c>
      <c r="E1034" t="str">
        <f ca="1">IF(Table1[[#This Row],[is_smoker]]=0,"non-smoker","smoker")</f>
        <v>non-smoker</v>
      </c>
      <c r="F1034" t="s">
        <v>61</v>
      </c>
      <c r="G1034" s="2">
        <v>1.61788617886178</v>
      </c>
      <c r="H1034" s="2">
        <v>1575.94903868135</v>
      </c>
    </row>
    <row r="1035" spans="1:8" x14ac:dyDescent="0.3">
      <c r="A1035" t="s">
        <v>1103</v>
      </c>
      <c r="B1035" t="s">
        <v>16</v>
      </c>
      <c r="C1035">
        <v>40</v>
      </c>
      <c r="D1035" t="s">
        <v>10</v>
      </c>
      <c r="E1035" t="str">
        <f ca="1">IF(Table1[[#This Row],[is_smoker]]=0,"non-smoker","smoker")</f>
        <v>non-smoker</v>
      </c>
      <c r="F1035" t="s">
        <v>19</v>
      </c>
      <c r="G1035" s="2">
        <v>1.11788617886178</v>
      </c>
      <c r="H1035" s="2">
        <v>1058.3086277141599</v>
      </c>
    </row>
    <row r="1036" spans="1:8" x14ac:dyDescent="0.3">
      <c r="A1036" t="s">
        <v>1104</v>
      </c>
      <c r="B1036" t="s">
        <v>13</v>
      </c>
      <c r="C1036">
        <v>39</v>
      </c>
      <c r="D1036" t="s">
        <v>10</v>
      </c>
      <c r="E1036" t="str">
        <f ca="1">IF(Table1[[#This Row],[is_smoker]]=0,"non-smoker","smoker")</f>
        <v>non-smoker</v>
      </c>
      <c r="F1036" t="s">
        <v>61</v>
      </c>
      <c r="G1036" s="2">
        <v>1.61788617886178</v>
      </c>
      <c r="H1036" s="2">
        <v>1542.61510149898</v>
      </c>
    </row>
    <row r="1037" spans="1:8" x14ac:dyDescent="0.3">
      <c r="A1037" t="s">
        <v>1105</v>
      </c>
      <c r="B1037" t="s">
        <v>46</v>
      </c>
      <c r="C1037">
        <v>48</v>
      </c>
      <c r="D1037" t="s">
        <v>10</v>
      </c>
      <c r="E1037" t="str">
        <f ca="1">IF(Table1[[#This Row],[is_smoker]]=0,"non-smoker","smoker")</f>
        <v>non-smoker</v>
      </c>
      <c r="F1037" t="s">
        <v>24</v>
      </c>
      <c r="G1037" s="2">
        <v>1.70325203252032</v>
      </c>
      <c r="H1037" s="2">
        <v>1523.1222287195601</v>
      </c>
    </row>
    <row r="1038" spans="1:8" x14ac:dyDescent="0.3">
      <c r="A1038" t="s">
        <v>1106</v>
      </c>
      <c r="B1038" t="s">
        <v>16</v>
      </c>
      <c r="C1038">
        <v>26</v>
      </c>
      <c r="D1038" t="s">
        <v>17</v>
      </c>
      <c r="E1038" t="str">
        <f ca="1">IF(Table1[[#This Row],[is_smoker]]=0,"non-smoker","smoker")</f>
        <v>non-smoker</v>
      </c>
      <c r="F1038" t="s">
        <v>14</v>
      </c>
      <c r="G1038" s="2">
        <v>0.66666666666666596</v>
      </c>
      <c r="H1038" s="2">
        <v>2007.4512208712799</v>
      </c>
    </row>
    <row r="1039" spans="1:8" x14ac:dyDescent="0.3">
      <c r="A1039" t="s">
        <v>1107</v>
      </c>
      <c r="B1039" t="s">
        <v>23</v>
      </c>
      <c r="C1039">
        <v>45</v>
      </c>
      <c r="D1039" t="s">
        <v>17</v>
      </c>
      <c r="E1039" t="str">
        <f ca="1">IF(Table1[[#This Row],[is_smoker]]=0,"non-smoker","smoker")</f>
        <v>non-smoker</v>
      </c>
      <c r="F1039" t="s">
        <v>61</v>
      </c>
      <c r="G1039" s="2">
        <v>1.61788617886178</v>
      </c>
      <c r="H1039" s="2">
        <v>4254.8261055696903</v>
      </c>
    </row>
    <row r="1040" spans="1:8" x14ac:dyDescent="0.3">
      <c r="A1040" t="s">
        <v>1108</v>
      </c>
      <c r="B1040" t="s">
        <v>113</v>
      </c>
      <c r="C1040">
        <v>24</v>
      </c>
      <c r="D1040" t="s">
        <v>10</v>
      </c>
      <c r="E1040" t="str">
        <f ca="1">IF(Table1[[#This Row],[is_smoker]]=0,"non-smoker","smoker")</f>
        <v>non-smoker</v>
      </c>
      <c r="F1040" t="s">
        <v>19</v>
      </c>
      <c r="G1040" s="2">
        <v>1.11788617886178</v>
      </c>
      <c r="H1040" s="2">
        <v>1186.1241695752799</v>
      </c>
    </row>
    <row r="1041" spans="1:8" x14ac:dyDescent="0.3">
      <c r="A1041" t="s">
        <v>1109</v>
      </c>
      <c r="B1041" t="s">
        <v>13</v>
      </c>
      <c r="C1041">
        <v>33</v>
      </c>
      <c r="D1041" t="s">
        <v>17</v>
      </c>
      <c r="E1041" t="str">
        <f ca="1">IF(Table1[[#This Row],[is_smoker]]=0,"non-smoker","smoker")</f>
        <v>non-smoker</v>
      </c>
      <c r="F1041" t="s">
        <v>24</v>
      </c>
      <c r="G1041" s="2">
        <v>1.70325203252032</v>
      </c>
      <c r="H1041" s="2">
        <v>4879.2281986103399</v>
      </c>
    </row>
    <row r="1042" spans="1:8" x14ac:dyDescent="0.3">
      <c r="A1042" s="1" t="s">
        <v>1110</v>
      </c>
      <c r="B1042" t="s">
        <v>16</v>
      </c>
      <c r="C1042">
        <v>28</v>
      </c>
      <c r="D1042" t="s">
        <v>17</v>
      </c>
      <c r="E1042" t="str">
        <f ca="1">IF(Table1[[#This Row],[is_smoker]]=0,"non-smoker","smoker")</f>
        <v>non-smoker</v>
      </c>
      <c r="F1042" t="s">
        <v>61</v>
      </c>
      <c r="G1042" s="2">
        <v>1.61788617886178</v>
      </c>
      <c r="H1042" s="2">
        <v>4802.7999540069504</v>
      </c>
    </row>
    <row r="1043" spans="1:8" x14ac:dyDescent="0.3">
      <c r="A1043" t="s">
        <v>1111</v>
      </c>
      <c r="B1043" t="s">
        <v>13</v>
      </c>
      <c r="C1043">
        <v>18</v>
      </c>
      <c r="D1043" t="s">
        <v>10</v>
      </c>
      <c r="E1043" t="str">
        <f ca="1">IF(Table1[[#This Row],[is_smoker]]=0,"non-smoker","smoker")</f>
        <v>non-smoker</v>
      </c>
      <c r="F1043" t="s">
        <v>27</v>
      </c>
      <c r="G1043" s="2">
        <v>0.53252032520325199</v>
      </c>
      <c r="H1043" s="2">
        <v>589.70924927383396</v>
      </c>
    </row>
    <row r="1044" spans="1:8" x14ac:dyDescent="0.3">
      <c r="A1044" t="s">
        <v>1112</v>
      </c>
      <c r="B1044" t="s">
        <v>16</v>
      </c>
      <c r="C1044">
        <v>49</v>
      </c>
      <c r="D1044" t="s">
        <v>10</v>
      </c>
      <c r="E1044" t="str">
        <f ca="1">IF(Table1[[#This Row],[is_smoker]]=0,"non-smoker","smoker")</f>
        <v>non-smoker</v>
      </c>
      <c r="F1044" t="s">
        <v>14</v>
      </c>
      <c r="G1044" s="2">
        <v>0.66666666666666596</v>
      </c>
      <c r="H1044" s="2">
        <v>591.92913648132003</v>
      </c>
    </row>
    <row r="1045" spans="1:8" x14ac:dyDescent="0.3">
      <c r="A1045" t="s">
        <v>1113</v>
      </c>
      <c r="B1045" t="s">
        <v>50</v>
      </c>
      <c r="C1045">
        <v>58</v>
      </c>
      <c r="D1045" t="s">
        <v>17</v>
      </c>
      <c r="E1045" t="str">
        <f ca="1">IF(Table1[[#This Row],[is_smoker]]=0,"non-smoker","smoker")</f>
        <v>non-smoker</v>
      </c>
      <c r="F1045" t="s">
        <v>61</v>
      </c>
      <c r="G1045" s="2">
        <v>1.61788617886178</v>
      </c>
      <c r="H1045" s="2">
        <v>3878.3641821251699</v>
      </c>
    </row>
    <row r="1046" spans="1:8" x14ac:dyDescent="0.3">
      <c r="A1046" t="s">
        <v>1114</v>
      </c>
      <c r="B1046" t="s">
        <v>50</v>
      </c>
      <c r="C1046">
        <v>39</v>
      </c>
      <c r="D1046" t="s">
        <v>17</v>
      </c>
      <c r="E1046" t="str">
        <f ca="1">IF(Table1[[#This Row],[is_smoker]]=0,"non-smoker","smoker")</f>
        <v>non-smoker</v>
      </c>
      <c r="F1046" t="s">
        <v>24</v>
      </c>
      <c r="G1046" s="2">
        <v>1.70325203252032</v>
      </c>
      <c r="H1046" s="2">
        <v>4675.0035843822297</v>
      </c>
    </row>
    <row r="1047" spans="1:8" x14ac:dyDescent="0.3">
      <c r="A1047" t="s">
        <v>1115</v>
      </c>
      <c r="B1047" t="s">
        <v>33</v>
      </c>
      <c r="C1047">
        <v>36</v>
      </c>
      <c r="D1047" t="s">
        <v>10</v>
      </c>
      <c r="E1047" t="str">
        <f ca="1">IF(Table1[[#This Row],[is_smoker]]=0,"non-smoker","smoker")</f>
        <v>non-smoker</v>
      </c>
      <c r="F1047" t="s">
        <v>44</v>
      </c>
      <c r="G1047" s="2">
        <v>1.1341463414634101</v>
      </c>
      <c r="H1047" s="2">
        <v>1104.7481954575301</v>
      </c>
    </row>
    <row r="1048" spans="1:8" x14ac:dyDescent="0.3">
      <c r="A1048" t="s">
        <v>1116</v>
      </c>
      <c r="B1048" t="s">
        <v>29</v>
      </c>
      <c r="C1048">
        <v>19</v>
      </c>
      <c r="D1048" t="s">
        <v>10</v>
      </c>
      <c r="E1048" t="str">
        <f ca="1">IF(Table1[[#This Row],[is_smoker]]=0,"non-smoker","smoker")</f>
        <v>non-smoker</v>
      </c>
      <c r="F1048" t="s">
        <v>48</v>
      </c>
      <c r="G1048" s="2">
        <v>0.46341463414634099</v>
      </c>
      <c r="H1048" s="2">
        <v>509.53806267373602</v>
      </c>
    </row>
    <row r="1049" spans="1:8" x14ac:dyDescent="0.3">
      <c r="A1049" t="s">
        <v>1117</v>
      </c>
      <c r="B1049" t="s">
        <v>46</v>
      </c>
      <c r="C1049">
        <v>22</v>
      </c>
      <c r="D1049" t="s">
        <v>10</v>
      </c>
      <c r="E1049" t="str">
        <f ca="1">IF(Table1[[#This Row],[is_smoker]]=0,"non-smoker","smoker")</f>
        <v>non-smoker</v>
      </c>
      <c r="F1049" t="s">
        <v>11</v>
      </c>
      <c r="G1049" s="2">
        <v>1.1544715447154399</v>
      </c>
      <c r="H1049" s="2">
        <v>1242.5261259026199</v>
      </c>
    </row>
    <row r="1050" spans="1:8" x14ac:dyDescent="0.3">
      <c r="A1050" t="s">
        <v>1118</v>
      </c>
      <c r="B1050" t="s">
        <v>408</v>
      </c>
      <c r="C1050">
        <v>42</v>
      </c>
      <c r="D1050" t="s">
        <v>17</v>
      </c>
      <c r="E1050" t="str">
        <f ca="1">IF(Table1[[#This Row],[is_smoker]]=0,"non-smoker","smoker")</f>
        <v>non-smoker</v>
      </c>
      <c r="F1050" t="s">
        <v>48</v>
      </c>
      <c r="G1050" s="2">
        <v>0.46341463414634099</v>
      </c>
      <c r="H1050" s="2">
        <v>1245.05399317052</v>
      </c>
    </row>
    <row r="1051" spans="1:8" x14ac:dyDescent="0.3">
      <c r="A1051" t="s">
        <v>1119</v>
      </c>
      <c r="B1051" t="s">
        <v>113</v>
      </c>
      <c r="C1051">
        <v>53</v>
      </c>
      <c r="D1051" t="s">
        <v>17</v>
      </c>
      <c r="E1051" t="str">
        <f ca="1">IF(Table1[[#This Row],[is_smoker]]=0,"non-smoker","smoker")</f>
        <v>non-smoker</v>
      </c>
      <c r="F1051" t="s">
        <v>48</v>
      </c>
      <c r="G1051" s="2">
        <v>0.46341463414634099</v>
      </c>
      <c r="H1051" s="2">
        <v>1151.1838414224301</v>
      </c>
    </row>
    <row r="1052" spans="1:8" x14ac:dyDescent="0.3">
      <c r="A1052" t="s">
        <v>1120</v>
      </c>
      <c r="B1052" t="s">
        <v>50</v>
      </c>
      <c r="C1052">
        <v>59</v>
      </c>
      <c r="D1052" t="s">
        <v>17</v>
      </c>
      <c r="E1052" t="str">
        <f ca="1">IF(Table1[[#This Row],[is_smoker]]=0,"non-smoker","smoker")</f>
        <v>non-smoker</v>
      </c>
      <c r="F1052" t="s">
        <v>56</v>
      </c>
      <c r="G1052" s="2">
        <v>0.19512195121951201</v>
      </c>
      <c r="H1052" s="2">
        <v>464.42104243717898</v>
      </c>
    </row>
    <row r="1053" spans="1:8" x14ac:dyDescent="0.3">
      <c r="A1053" t="s">
        <v>1121</v>
      </c>
      <c r="B1053" t="s">
        <v>128</v>
      </c>
      <c r="C1053">
        <v>39</v>
      </c>
      <c r="D1053" t="s">
        <v>17</v>
      </c>
      <c r="E1053" t="str">
        <f ca="1">IF(Table1[[#This Row],[is_smoker]]=0,"non-smoker","smoker")</f>
        <v>non-smoker</v>
      </c>
      <c r="F1053" t="s">
        <v>27</v>
      </c>
      <c r="G1053" s="2">
        <v>0.53252032520325199</v>
      </c>
      <c r="H1053" s="2">
        <v>1461.63596552284</v>
      </c>
    </row>
    <row r="1054" spans="1:8" x14ac:dyDescent="0.3">
      <c r="A1054" t="s">
        <v>1122</v>
      </c>
      <c r="B1054" t="s">
        <v>16</v>
      </c>
      <c r="C1054">
        <v>51</v>
      </c>
      <c r="D1054" t="s">
        <v>10</v>
      </c>
      <c r="E1054" t="str">
        <f ca="1">IF(Table1[[#This Row],[is_smoker]]=0,"non-smoker","smoker")</f>
        <v>non-smoker</v>
      </c>
      <c r="F1054" t="s">
        <v>44</v>
      </c>
      <c r="G1054" s="2">
        <v>1.1341463414634101</v>
      </c>
      <c r="H1054" s="2">
        <v>992.75102834540496</v>
      </c>
    </row>
    <row r="1055" spans="1:8" x14ac:dyDescent="0.3">
      <c r="A1055" t="s">
        <v>1123</v>
      </c>
      <c r="B1055" t="s">
        <v>113</v>
      </c>
      <c r="C1055">
        <v>33</v>
      </c>
      <c r="D1055" t="s">
        <v>17</v>
      </c>
      <c r="E1055" t="str">
        <f ca="1">IF(Table1[[#This Row],[is_smoker]]=0,"non-smoker","smoker")</f>
        <v>non-smoker</v>
      </c>
      <c r="F1055" t="s">
        <v>2004</v>
      </c>
      <c r="G1055" s="2">
        <v>1.2073170731707299</v>
      </c>
      <c r="H1055" s="2">
        <v>3458.54600235625</v>
      </c>
    </row>
    <row r="1056" spans="1:8" x14ac:dyDescent="0.3">
      <c r="A1056" t="s">
        <v>1124</v>
      </c>
      <c r="B1056" t="s">
        <v>128</v>
      </c>
      <c r="C1056">
        <v>54</v>
      </c>
      <c r="D1056" t="s">
        <v>17</v>
      </c>
      <c r="E1056" t="str">
        <f ca="1">IF(Table1[[#This Row],[is_smoker]]=0,"non-smoker","smoker")</f>
        <v>non-smoker</v>
      </c>
      <c r="F1056" t="s">
        <v>61</v>
      </c>
      <c r="G1056" s="2">
        <v>1.61788617886178</v>
      </c>
      <c r="H1056" s="2">
        <v>3990.5066792160401</v>
      </c>
    </row>
    <row r="1057" spans="1:8" x14ac:dyDescent="0.3">
      <c r="A1057" t="s">
        <v>1125</v>
      </c>
      <c r="B1057" t="s">
        <v>178</v>
      </c>
      <c r="C1057">
        <v>61</v>
      </c>
      <c r="D1057" t="s">
        <v>10</v>
      </c>
      <c r="E1057" t="str">
        <f ca="1">IF(Table1[[#This Row],[is_smoker]]=0,"non-smoker","smoker")</f>
        <v>non-smoker</v>
      </c>
      <c r="F1057" t="s">
        <v>11</v>
      </c>
      <c r="G1057" s="2">
        <v>1.1544715447154399</v>
      </c>
      <c r="H1057" s="2">
        <v>941.03514965838394</v>
      </c>
    </row>
    <row r="1058" spans="1:8" x14ac:dyDescent="0.3">
      <c r="A1058" t="s">
        <v>1126</v>
      </c>
      <c r="B1058" t="s">
        <v>584</v>
      </c>
      <c r="C1058">
        <v>27</v>
      </c>
      <c r="D1058" t="s">
        <v>17</v>
      </c>
      <c r="E1058" t="str">
        <f ca="1">IF(Table1[[#This Row],[is_smoker]]=0,"non-smoker","smoker")</f>
        <v>non-smoker</v>
      </c>
      <c r="F1058" t="s">
        <v>14</v>
      </c>
      <c r="G1058" s="2">
        <v>0.66666666666666596</v>
      </c>
      <c r="H1058" s="2">
        <v>1993.1965989918299</v>
      </c>
    </row>
    <row r="1059" spans="1:8" x14ac:dyDescent="0.3">
      <c r="A1059" t="s">
        <v>1127</v>
      </c>
      <c r="B1059" t="s">
        <v>31</v>
      </c>
      <c r="C1059">
        <v>18</v>
      </c>
      <c r="D1059" t="s">
        <v>17</v>
      </c>
      <c r="E1059" t="str">
        <f ca="1">IF(Table1[[#This Row],[is_smoker]]=0,"non-smoker","smoker")</f>
        <v>non-smoker</v>
      </c>
      <c r="F1059" t="s">
        <v>44</v>
      </c>
      <c r="G1059" s="2">
        <v>1.1341463414634101</v>
      </c>
      <c r="H1059" s="2">
        <v>3615.4658673270201</v>
      </c>
    </row>
    <row r="1060" spans="1:8" x14ac:dyDescent="0.3">
      <c r="A1060" t="s">
        <v>1128</v>
      </c>
      <c r="B1060" t="s">
        <v>29</v>
      </c>
      <c r="C1060">
        <v>23</v>
      </c>
      <c r="D1060" t="s">
        <v>10</v>
      </c>
      <c r="E1060" t="str">
        <f ca="1">IF(Table1[[#This Row],[is_smoker]]=0,"non-smoker","smoker")</f>
        <v>non-smoker</v>
      </c>
      <c r="F1060" t="s">
        <v>19</v>
      </c>
      <c r="G1060" s="2">
        <v>1.11788617886178</v>
      </c>
      <c r="H1060" s="2">
        <v>1194.6069010569299</v>
      </c>
    </row>
    <row r="1061" spans="1:8" x14ac:dyDescent="0.3">
      <c r="A1061" t="s">
        <v>1129</v>
      </c>
      <c r="B1061" t="s">
        <v>21</v>
      </c>
      <c r="C1061">
        <v>40</v>
      </c>
      <c r="D1061" t="s">
        <v>10</v>
      </c>
      <c r="E1061" t="str">
        <f ca="1">IF(Table1[[#This Row],[is_smoker]]=0,"non-smoker","smoker")</f>
        <v>non-smoker</v>
      </c>
      <c r="F1061" t="s">
        <v>2004</v>
      </c>
      <c r="G1061" s="2">
        <v>1.2073170731707299</v>
      </c>
      <c r="H1061" s="2">
        <v>1142.97331793129</v>
      </c>
    </row>
    <row r="1062" spans="1:8" x14ac:dyDescent="0.3">
      <c r="A1062" t="s">
        <v>1130</v>
      </c>
      <c r="B1062" t="s">
        <v>53</v>
      </c>
      <c r="C1062">
        <v>53</v>
      </c>
      <c r="D1062" t="s">
        <v>17</v>
      </c>
      <c r="E1062" t="str">
        <f ca="1">IF(Table1[[#This Row],[is_smoker]]=0,"non-smoker","smoker")</f>
        <v>non-smoker</v>
      </c>
      <c r="F1062" t="s">
        <v>56</v>
      </c>
      <c r="G1062" s="2">
        <v>0.19512195121951201</v>
      </c>
      <c r="H1062" s="2">
        <v>484.70898586207898</v>
      </c>
    </row>
    <row r="1063" spans="1:8" x14ac:dyDescent="0.3">
      <c r="A1063" t="s">
        <v>1131</v>
      </c>
      <c r="B1063" t="s">
        <v>50</v>
      </c>
      <c r="C1063">
        <v>45</v>
      </c>
      <c r="D1063" t="s">
        <v>10</v>
      </c>
      <c r="E1063" t="str">
        <f ca="1">IF(Table1[[#This Row],[is_smoker]]=0,"non-smoker","smoker")</f>
        <v>non-smoker</v>
      </c>
      <c r="F1063" t="s">
        <v>56</v>
      </c>
      <c r="G1063" s="2">
        <v>0.19512195121951201</v>
      </c>
      <c r="H1063" s="2">
        <v>178.256987098401</v>
      </c>
    </row>
    <row r="1064" spans="1:8" x14ac:dyDescent="0.3">
      <c r="A1064" t="s">
        <v>1132</v>
      </c>
      <c r="B1064" t="s">
        <v>13</v>
      </c>
      <c r="C1064">
        <v>39</v>
      </c>
      <c r="D1064" t="s">
        <v>10</v>
      </c>
      <c r="E1064" t="str">
        <f ca="1">IF(Table1[[#This Row],[is_smoker]]=0,"non-smoker","smoker")</f>
        <v>non-smoker</v>
      </c>
      <c r="F1064" t="s">
        <v>44</v>
      </c>
      <c r="G1064" s="2">
        <v>1.1341463414634101</v>
      </c>
      <c r="H1064" s="2">
        <v>1081.3809379854699</v>
      </c>
    </row>
    <row r="1065" spans="1:8" x14ac:dyDescent="0.3">
      <c r="A1065" t="s">
        <v>1133</v>
      </c>
      <c r="B1065" t="s">
        <v>37</v>
      </c>
      <c r="C1065">
        <v>58</v>
      </c>
      <c r="D1065" t="s">
        <v>17</v>
      </c>
      <c r="E1065" t="str">
        <f ca="1">IF(Table1[[#This Row],[is_smoker]]=0,"non-smoker","smoker")</f>
        <v>non-smoker</v>
      </c>
      <c r="F1065" t="s">
        <v>24</v>
      </c>
      <c r="G1065" s="2">
        <v>1.70325203252032</v>
      </c>
      <c r="H1065" s="2">
        <v>4083.0014882171999</v>
      </c>
    </row>
    <row r="1066" spans="1:8" x14ac:dyDescent="0.3">
      <c r="A1066" t="s">
        <v>1134</v>
      </c>
      <c r="B1066" t="s">
        <v>43</v>
      </c>
      <c r="C1066">
        <v>52</v>
      </c>
      <c r="D1066" t="s">
        <v>10</v>
      </c>
      <c r="E1066" t="str">
        <f ca="1">IF(Table1[[#This Row],[is_smoker]]=0,"non-smoker","smoker")</f>
        <v>non-smoker</v>
      </c>
      <c r="F1066" t="s">
        <v>48</v>
      </c>
      <c r="G1066" s="2">
        <v>0.46341463414634099</v>
      </c>
      <c r="H1066" s="2">
        <v>402.759812479679</v>
      </c>
    </row>
    <row r="1067" spans="1:8" x14ac:dyDescent="0.3">
      <c r="A1067" t="s">
        <v>1135</v>
      </c>
      <c r="B1067" t="s">
        <v>50</v>
      </c>
      <c r="C1067">
        <v>24</v>
      </c>
      <c r="D1067" t="s">
        <v>10</v>
      </c>
      <c r="E1067" t="str">
        <f ca="1">IF(Table1[[#This Row],[is_smoker]]=0,"non-smoker","smoker")</f>
        <v>non-smoker</v>
      </c>
      <c r="F1067" t="s">
        <v>19</v>
      </c>
      <c r="G1067" s="2">
        <v>1.11788617886178</v>
      </c>
      <c r="H1067" s="2">
        <v>1186.1241695752799</v>
      </c>
    </row>
    <row r="1068" spans="1:8" x14ac:dyDescent="0.3">
      <c r="A1068" t="s">
        <v>1136</v>
      </c>
      <c r="B1068" t="s">
        <v>113</v>
      </c>
      <c r="C1068">
        <v>47</v>
      </c>
      <c r="D1068" t="s">
        <v>17</v>
      </c>
      <c r="E1068" t="str">
        <f ca="1">IF(Table1[[#This Row],[is_smoker]]=0,"non-smoker","smoker")</f>
        <v>non-smoker</v>
      </c>
      <c r="F1068" t="s">
        <v>56</v>
      </c>
      <c r="G1068" s="2">
        <v>0.19512195121951201</v>
      </c>
      <c r="H1068" s="2">
        <v>505.883195435152</v>
      </c>
    </row>
    <row r="1069" spans="1:8" x14ac:dyDescent="0.3">
      <c r="A1069" t="s">
        <v>1137</v>
      </c>
      <c r="B1069" t="s">
        <v>29</v>
      </c>
      <c r="C1069">
        <v>60</v>
      </c>
      <c r="D1069" t="s">
        <v>17</v>
      </c>
      <c r="E1069" t="str">
        <f ca="1">IF(Table1[[#This Row],[is_smoker]]=0,"non-smoker","smoker")</f>
        <v>non-smoker</v>
      </c>
      <c r="F1069" t="s">
        <v>11</v>
      </c>
      <c r="G1069" s="2">
        <v>1.1544715447154399</v>
      </c>
      <c r="H1069" s="2">
        <v>2728.3125952197202</v>
      </c>
    </row>
    <row r="1070" spans="1:8" x14ac:dyDescent="0.3">
      <c r="A1070" t="s">
        <v>1138</v>
      </c>
      <c r="B1070" t="s">
        <v>85</v>
      </c>
      <c r="C1070">
        <v>24</v>
      </c>
      <c r="D1070" t="s">
        <v>17</v>
      </c>
      <c r="E1070" t="str">
        <f ca="1">IF(Table1[[#This Row],[is_smoker]]=0,"non-smoker","smoker")</f>
        <v>non-smoker</v>
      </c>
      <c r="F1070" t="s">
        <v>56</v>
      </c>
      <c r="G1070" s="2">
        <v>0.19512195121951201</v>
      </c>
      <c r="H1070" s="2">
        <v>595.98059280334996</v>
      </c>
    </row>
    <row r="1071" spans="1:8" x14ac:dyDescent="0.3">
      <c r="A1071" t="s">
        <v>1139</v>
      </c>
      <c r="B1071" t="s">
        <v>29</v>
      </c>
      <c r="C1071">
        <v>48</v>
      </c>
      <c r="D1071" t="s">
        <v>17</v>
      </c>
      <c r="E1071" t="str">
        <f ca="1">IF(Table1[[#This Row],[is_smoker]]=0,"non-smoker","smoker")</f>
        <v>non-smoker</v>
      </c>
      <c r="F1071" t="s">
        <v>14</v>
      </c>
      <c r="G1071" s="2">
        <v>0.66666666666666596</v>
      </c>
      <c r="H1071" s="2">
        <v>1716.1608884915599</v>
      </c>
    </row>
    <row r="1072" spans="1:8" x14ac:dyDescent="0.3">
      <c r="A1072" t="s">
        <v>1140</v>
      </c>
      <c r="B1072" t="s">
        <v>13</v>
      </c>
      <c r="C1072">
        <v>43</v>
      </c>
      <c r="D1072" t="s">
        <v>17</v>
      </c>
      <c r="E1072" t="str">
        <f ca="1">IF(Table1[[#This Row],[is_smoker]]=0,"non-smoker","smoker")</f>
        <v>non-smoker</v>
      </c>
      <c r="F1072" t="s">
        <v>61</v>
      </c>
      <c r="G1072" s="2">
        <v>1.61788617886178</v>
      </c>
      <c r="H1072" s="2">
        <v>4315.9016804757002</v>
      </c>
    </row>
    <row r="1073" spans="1:8" x14ac:dyDescent="0.3">
      <c r="A1073" s="1" t="s">
        <v>1141</v>
      </c>
      <c r="B1073" t="s">
        <v>60</v>
      </c>
      <c r="C1073">
        <v>60</v>
      </c>
      <c r="D1073" t="s">
        <v>17</v>
      </c>
      <c r="E1073" t="str">
        <f ca="1">IF(Table1[[#This Row],[is_smoker]]=0,"non-smoker","smoker")</f>
        <v>non-smoker</v>
      </c>
      <c r="F1073" t="s">
        <v>56</v>
      </c>
      <c r="G1073" s="2">
        <v>0.19512195121951201</v>
      </c>
      <c r="H1073" s="2">
        <v>461.12325553009299</v>
      </c>
    </row>
    <row r="1074" spans="1:8" x14ac:dyDescent="0.3">
      <c r="A1074" t="s">
        <v>1142</v>
      </c>
      <c r="B1074" t="s">
        <v>13</v>
      </c>
      <c r="C1074">
        <v>33</v>
      </c>
      <c r="D1074" t="s">
        <v>10</v>
      </c>
      <c r="E1074" t="str">
        <f ca="1">IF(Table1[[#This Row],[is_smoker]]=0,"non-smoker","smoker")</f>
        <v>non-smoker</v>
      </c>
      <c r="F1074" t="s">
        <v>14</v>
      </c>
      <c r="G1074" s="2">
        <v>0.66666666666666596</v>
      </c>
      <c r="H1074" s="2">
        <v>663.41843680589602</v>
      </c>
    </row>
    <row r="1075" spans="1:8" x14ac:dyDescent="0.3">
      <c r="A1075" s="1" t="s">
        <v>1143</v>
      </c>
      <c r="B1075" t="s">
        <v>16</v>
      </c>
      <c r="C1075">
        <v>65</v>
      </c>
      <c r="D1075" t="s">
        <v>17</v>
      </c>
      <c r="E1075" t="str">
        <f ca="1">IF(Table1[[#This Row],[is_smoker]]=0,"non-smoker","smoker")</f>
        <v>non-smoker</v>
      </c>
      <c r="F1075" t="s">
        <v>44</v>
      </c>
      <c r="G1075" s="2">
        <v>1.1341463414634101</v>
      </c>
      <c r="H1075" s="2">
        <v>2586.45944245788</v>
      </c>
    </row>
    <row r="1076" spans="1:8" x14ac:dyDescent="0.3">
      <c r="A1076" t="s">
        <v>1144</v>
      </c>
      <c r="B1076" t="s">
        <v>13</v>
      </c>
      <c r="C1076">
        <v>57</v>
      </c>
      <c r="D1076" t="s">
        <v>17</v>
      </c>
      <c r="E1076" t="str">
        <f ca="1">IF(Table1[[#This Row],[is_smoker]]=0,"non-smoker","smoker")</f>
        <v>non-smoker</v>
      </c>
      <c r="F1076" t="s">
        <v>44</v>
      </c>
      <c r="G1076" s="2">
        <v>1.1341463414634101</v>
      </c>
      <c r="H1076" s="2">
        <v>2738.19631846638</v>
      </c>
    </row>
    <row r="1077" spans="1:8" x14ac:dyDescent="0.3">
      <c r="A1077" t="s">
        <v>1145</v>
      </c>
      <c r="B1077" t="s">
        <v>60</v>
      </c>
      <c r="C1077">
        <v>38</v>
      </c>
      <c r="D1077" t="s">
        <v>17</v>
      </c>
      <c r="E1077" t="str">
        <f ca="1">IF(Table1[[#This Row],[is_smoker]]=0,"non-smoker","smoker")</f>
        <v>non-smoker</v>
      </c>
      <c r="F1077" t="s">
        <v>2004</v>
      </c>
      <c r="G1077" s="2">
        <v>1.2073170731707299</v>
      </c>
      <c r="H1077" s="2">
        <v>3337.4843524602102</v>
      </c>
    </row>
    <row r="1078" spans="1:8" x14ac:dyDescent="0.3">
      <c r="A1078" t="s">
        <v>1146</v>
      </c>
      <c r="B1078" t="s">
        <v>13</v>
      </c>
      <c r="C1078">
        <v>18</v>
      </c>
      <c r="D1078" t="s">
        <v>10</v>
      </c>
      <c r="E1078" t="str">
        <f ca="1">IF(Table1[[#This Row],[is_smoker]]=0,"non-smoker","smoker")</f>
        <v>non-smoker</v>
      </c>
      <c r="F1078" t="s">
        <v>56</v>
      </c>
      <c r="G1078" s="2">
        <v>0.19512195121951201</v>
      </c>
      <c r="H1078" s="2">
        <v>216.07667148964899</v>
      </c>
    </row>
    <row r="1079" spans="1:8" x14ac:dyDescent="0.3">
      <c r="A1079" t="s">
        <v>1147</v>
      </c>
      <c r="B1079" t="s">
        <v>60</v>
      </c>
      <c r="C1079">
        <v>52</v>
      </c>
      <c r="D1079" t="s">
        <v>17</v>
      </c>
      <c r="E1079" t="str">
        <f ca="1">IF(Table1[[#This Row],[is_smoker]]=0,"non-smoker","smoker")</f>
        <v>non-smoker</v>
      </c>
      <c r="F1079" t="s">
        <v>11</v>
      </c>
      <c r="G1079" s="2">
        <v>1.1544715447154399</v>
      </c>
      <c r="H1079" s="2">
        <v>2888.37140889277</v>
      </c>
    </row>
    <row r="1080" spans="1:8" x14ac:dyDescent="0.3">
      <c r="A1080" t="s">
        <v>1148</v>
      </c>
      <c r="B1080" t="s">
        <v>88</v>
      </c>
      <c r="C1080">
        <v>39</v>
      </c>
      <c r="D1080" t="s">
        <v>17</v>
      </c>
      <c r="E1080" t="str">
        <f ca="1">IF(Table1[[#This Row],[is_smoker]]=0,"non-smoker","smoker")</f>
        <v>non-smoker</v>
      </c>
      <c r="F1080" t="s">
        <v>56</v>
      </c>
      <c r="G1080" s="2">
        <v>0.19512195121951201</v>
      </c>
      <c r="H1080" s="2">
        <v>535.56126980989802</v>
      </c>
    </row>
    <row r="1081" spans="1:8" x14ac:dyDescent="0.3">
      <c r="A1081" t="s">
        <v>1149</v>
      </c>
      <c r="B1081" t="s">
        <v>113</v>
      </c>
      <c r="C1081">
        <v>23</v>
      </c>
      <c r="D1081" t="s">
        <v>17</v>
      </c>
      <c r="E1081" t="str">
        <f ca="1">IF(Table1[[#This Row],[is_smoker]]=0,"non-smoker","smoker")</f>
        <v>non-smoker</v>
      </c>
      <c r="F1081" t="s">
        <v>11</v>
      </c>
      <c r="G1081" s="2">
        <v>1.1544715447154399</v>
      </c>
      <c r="H1081" s="2">
        <v>3551.4367480655301</v>
      </c>
    </row>
    <row r="1082" spans="1:8" x14ac:dyDescent="0.3">
      <c r="A1082" t="s">
        <v>1150</v>
      </c>
      <c r="B1082" t="s">
        <v>37</v>
      </c>
      <c r="C1082">
        <v>26</v>
      </c>
      <c r="D1082" t="s">
        <v>10</v>
      </c>
      <c r="E1082" t="str">
        <f ca="1">IF(Table1[[#This Row],[is_smoker]]=0,"non-smoker","smoker")</f>
        <v>non-smoker</v>
      </c>
      <c r="F1082" t="s">
        <v>27</v>
      </c>
      <c r="G1082" s="2">
        <v>0.53252032520325199</v>
      </c>
      <c r="H1082" s="2">
        <v>557.030570015276</v>
      </c>
    </row>
    <row r="1083" spans="1:8" x14ac:dyDescent="0.3">
      <c r="A1083" t="s">
        <v>1151</v>
      </c>
      <c r="B1083" t="s">
        <v>13</v>
      </c>
      <c r="C1083">
        <v>55</v>
      </c>
      <c r="D1083" t="s">
        <v>10</v>
      </c>
      <c r="E1083" t="str">
        <f ca="1">IF(Table1[[#This Row],[is_smoker]]=0,"non-smoker","smoker")</f>
        <v>non-smoker</v>
      </c>
      <c r="F1083" t="s">
        <v>2004</v>
      </c>
      <c r="G1083" s="2">
        <v>1.2073170731707299</v>
      </c>
      <c r="H1083" s="2">
        <v>1027.1009641954799</v>
      </c>
    </row>
    <row r="1084" spans="1:8" x14ac:dyDescent="0.3">
      <c r="A1084" t="s">
        <v>1152</v>
      </c>
      <c r="B1084" t="s">
        <v>60</v>
      </c>
      <c r="C1084">
        <v>24</v>
      </c>
      <c r="D1084" t="s">
        <v>17</v>
      </c>
      <c r="E1084" t="str">
        <f ca="1">IF(Table1[[#This Row],[is_smoker]]=0,"non-smoker","smoker")</f>
        <v>non-smoker</v>
      </c>
      <c r="F1084" t="s">
        <v>27</v>
      </c>
      <c r="G1084" s="2">
        <v>0.53252032520325199</v>
      </c>
      <c r="H1084" s="2">
        <v>1626.5303678591399</v>
      </c>
    </row>
    <row r="1085" spans="1:8" x14ac:dyDescent="0.3">
      <c r="A1085" t="s">
        <v>1153</v>
      </c>
      <c r="B1085" t="s">
        <v>29</v>
      </c>
      <c r="C1085">
        <v>64</v>
      </c>
      <c r="D1085" t="s">
        <v>17</v>
      </c>
      <c r="E1085" t="str">
        <f ca="1">IF(Table1[[#This Row],[is_smoker]]=0,"non-smoker","smoker")</f>
        <v>non-smoker</v>
      </c>
      <c r="F1085" t="s">
        <v>56</v>
      </c>
      <c r="G1085" s="2">
        <v>0.19512195121951201</v>
      </c>
      <c r="H1085" s="2">
        <v>448.16462207857001</v>
      </c>
    </row>
    <row r="1086" spans="1:8" x14ac:dyDescent="0.3">
      <c r="A1086" t="s">
        <v>1154</v>
      </c>
      <c r="B1086" t="s">
        <v>229</v>
      </c>
      <c r="C1086">
        <v>54</v>
      </c>
      <c r="D1086" t="s">
        <v>10</v>
      </c>
      <c r="E1086" t="str">
        <f ca="1">IF(Table1[[#This Row],[is_smoker]]=0,"non-smoker","smoker")</f>
        <v>non-smoker</v>
      </c>
      <c r="F1086" t="s">
        <v>2004</v>
      </c>
      <c r="G1086" s="2">
        <v>1.2073170731707299</v>
      </c>
      <c r="H1086" s="2">
        <v>1034.44641917169</v>
      </c>
    </row>
    <row r="1087" spans="1:8" x14ac:dyDescent="0.3">
      <c r="A1087" t="s">
        <v>1155</v>
      </c>
      <c r="B1087" t="s">
        <v>113</v>
      </c>
      <c r="C1087">
        <v>48</v>
      </c>
      <c r="D1087" t="s">
        <v>10</v>
      </c>
      <c r="E1087" t="str">
        <f ca="1">IF(Table1[[#This Row],[is_smoker]]=0,"non-smoker","smoker")</f>
        <v>non-smoker</v>
      </c>
      <c r="F1087" t="s">
        <v>27</v>
      </c>
      <c r="G1087" s="2">
        <v>0.53252032520325199</v>
      </c>
      <c r="H1087" s="2">
        <v>476.20289251136597</v>
      </c>
    </row>
    <row r="1088" spans="1:8" x14ac:dyDescent="0.3">
      <c r="A1088" t="s">
        <v>1156</v>
      </c>
      <c r="B1088" t="s">
        <v>13</v>
      </c>
      <c r="C1088">
        <v>31</v>
      </c>
      <c r="D1088" t="s">
        <v>17</v>
      </c>
      <c r="E1088" t="str">
        <f ca="1">IF(Table1[[#This Row],[is_smoker]]=0,"non-smoker","smoker")</f>
        <v>non-smoker</v>
      </c>
      <c r="F1088" t="s">
        <v>48</v>
      </c>
      <c r="G1088" s="2">
        <v>0.46341463414634099</v>
      </c>
      <c r="H1088" s="2">
        <v>1346.5785308404199</v>
      </c>
    </row>
    <row r="1089" spans="1:8" x14ac:dyDescent="0.3">
      <c r="A1089" t="s">
        <v>1157</v>
      </c>
      <c r="B1089" t="s">
        <v>229</v>
      </c>
      <c r="C1089">
        <v>44</v>
      </c>
      <c r="D1089" t="s">
        <v>17</v>
      </c>
      <c r="E1089" t="str">
        <f ca="1">IF(Table1[[#This Row],[is_smoker]]=0,"non-smoker","smoker")</f>
        <v>non-smoker</v>
      </c>
      <c r="F1089" t="s">
        <v>56</v>
      </c>
      <c r="G1089" s="2">
        <v>0.19512195121951201</v>
      </c>
      <c r="H1089" s="2">
        <v>516.814683556761</v>
      </c>
    </row>
    <row r="1090" spans="1:8" x14ac:dyDescent="0.3">
      <c r="A1090" t="s">
        <v>1158</v>
      </c>
      <c r="B1090" t="s">
        <v>60</v>
      </c>
      <c r="C1090">
        <v>53</v>
      </c>
      <c r="D1090" t="s">
        <v>10</v>
      </c>
      <c r="E1090" t="str">
        <f ca="1">IF(Table1[[#This Row],[is_smoker]]=0,"non-smoker","smoker")</f>
        <v>non-smoker</v>
      </c>
      <c r="F1090" t="s">
        <v>27</v>
      </c>
      <c r="G1090" s="2">
        <v>0.53252032520325199</v>
      </c>
      <c r="H1090" s="2">
        <v>459.53406468215002</v>
      </c>
    </row>
    <row r="1091" spans="1:8" x14ac:dyDescent="0.3">
      <c r="A1091" s="1" t="s">
        <v>1159</v>
      </c>
      <c r="B1091" t="s">
        <v>13</v>
      </c>
      <c r="C1091">
        <v>64</v>
      </c>
      <c r="D1091" t="s">
        <v>17</v>
      </c>
      <c r="E1091" t="str">
        <f ca="1">IF(Table1[[#This Row],[is_smoker]]=0,"non-smoker","smoker")</f>
        <v>non-smoker</v>
      </c>
      <c r="F1091" t="s">
        <v>48</v>
      </c>
      <c r="G1091" s="2">
        <v>0.46341463414634099</v>
      </c>
      <c r="H1091" s="2">
        <v>1064.3909774366</v>
      </c>
    </row>
    <row r="1092" spans="1:8" x14ac:dyDescent="0.3">
      <c r="A1092" t="s">
        <v>1160</v>
      </c>
      <c r="B1092" t="s">
        <v>113</v>
      </c>
      <c r="C1092">
        <v>62</v>
      </c>
      <c r="D1092" t="s">
        <v>17</v>
      </c>
      <c r="E1092" t="str">
        <f ca="1">IF(Table1[[#This Row],[is_smoker]]=0,"non-smoker","smoker")</f>
        <v>non-smoker</v>
      </c>
      <c r="F1092" t="s">
        <v>48</v>
      </c>
      <c r="G1092" s="2">
        <v>0.46341463414634099</v>
      </c>
      <c r="H1092" s="2">
        <v>1079.66969606311</v>
      </c>
    </row>
    <row r="1093" spans="1:8" x14ac:dyDescent="0.3">
      <c r="A1093" t="s">
        <v>1161</v>
      </c>
      <c r="B1093" t="s">
        <v>46</v>
      </c>
      <c r="C1093">
        <v>47</v>
      </c>
      <c r="D1093" t="s">
        <v>10</v>
      </c>
      <c r="E1093" t="str">
        <f ca="1">IF(Table1[[#This Row],[is_smoker]]=0,"non-smoker","smoker")</f>
        <v>non-smoker</v>
      </c>
      <c r="F1093" t="s">
        <v>44</v>
      </c>
      <c r="G1093" s="2">
        <v>1.1341463414634101</v>
      </c>
      <c r="H1093" s="2">
        <v>1021.45632111323</v>
      </c>
    </row>
    <row r="1094" spans="1:8" x14ac:dyDescent="0.3">
      <c r="A1094" t="s">
        <v>1162</v>
      </c>
      <c r="B1094" t="s">
        <v>13</v>
      </c>
      <c r="C1094">
        <v>59</v>
      </c>
      <c r="D1094" t="s">
        <v>10</v>
      </c>
      <c r="E1094" t="str">
        <f ca="1">IF(Table1[[#This Row],[is_smoker]]=0,"non-smoker","smoker")</f>
        <v>non-smoker</v>
      </c>
      <c r="F1094" t="s">
        <v>56</v>
      </c>
      <c r="G1094" s="2">
        <v>0.19512195121951201</v>
      </c>
      <c r="H1094" s="2">
        <v>161.331239411627</v>
      </c>
    </row>
    <row r="1095" spans="1:8" x14ac:dyDescent="0.3">
      <c r="A1095" t="s">
        <v>1163</v>
      </c>
      <c r="B1095" t="s">
        <v>110</v>
      </c>
      <c r="C1095">
        <v>47</v>
      </c>
      <c r="D1095" t="s">
        <v>17</v>
      </c>
      <c r="E1095" t="str">
        <f ca="1">IF(Table1[[#This Row],[is_smoker]]=0,"non-smoker","smoker")</f>
        <v>non-smoker</v>
      </c>
      <c r="F1095" t="s">
        <v>48</v>
      </c>
      <c r="G1095" s="2">
        <v>0.46341463414634099</v>
      </c>
      <c r="H1095" s="2">
        <v>1201.4725891584801</v>
      </c>
    </row>
    <row r="1096" spans="1:8" x14ac:dyDescent="0.3">
      <c r="A1096" t="s">
        <v>1164</v>
      </c>
      <c r="B1096" t="s">
        <v>502</v>
      </c>
      <c r="C1096">
        <v>24</v>
      </c>
      <c r="D1096" t="s">
        <v>10</v>
      </c>
      <c r="E1096" t="str">
        <f ca="1">IF(Table1[[#This Row],[is_smoker]]=0,"non-smoker","smoker")</f>
        <v>smoker</v>
      </c>
      <c r="F1096" t="s">
        <v>44</v>
      </c>
      <c r="G1096" s="2">
        <v>1.1341463414634101</v>
      </c>
      <c r="H1096" s="2">
        <v>1292.3176538288501</v>
      </c>
    </row>
    <row r="1097" spans="1:8" x14ac:dyDescent="0.3">
      <c r="A1097" t="s">
        <v>1165</v>
      </c>
      <c r="B1097" t="s">
        <v>16</v>
      </c>
      <c r="C1097">
        <v>50</v>
      </c>
      <c r="D1097" t="s">
        <v>17</v>
      </c>
      <c r="E1097" t="str">
        <f ca="1">IF(Table1[[#This Row],[is_smoker]]=0,"non-smoker","smoker")</f>
        <v>non-smoker</v>
      </c>
      <c r="F1097" t="s">
        <v>27</v>
      </c>
      <c r="G1097" s="2">
        <v>0.53252032520325199</v>
      </c>
      <c r="H1097" s="2">
        <v>1351.4367367049001</v>
      </c>
    </row>
    <row r="1098" spans="1:8" x14ac:dyDescent="0.3">
      <c r="A1098" t="s">
        <v>1166</v>
      </c>
      <c r="B1098" t="s">
        <v>50</v>
      </c>
      <c r="C1098">
        <v>19</v>
      </c>
      <c r="D1098" t="s">
        <v>10</v>
      </c>
      <c r="E1098" t="str">
        <f ca="1">IF(Table1[[#This Row],[is_smoker]]=0,"non-smoker","smoker")</f>
        <v>non-smoker</v>
      </c>
      <c r="F1098" t="s">
        <v>14</v>
      </c>
      <c r="G1098" s="2">
        <v>0.66666666666666596</v>
      </c>
      <c r="H1098" s="2">
        <v>733.01966910958595</v>
      </c>
    </row>
    <row r="1099" spans="1:8" x14ac:dyDescent="0.3">
      <c r="A1099" t="s">
        <v>1167</v>
      </c>
      <c r="B1099" t="s">
        <v>29</v>
      </c>
      <c r="C1099">
        <v>30</v>
      </c>
      <c r="D1099" t="s">
        <v>10</v>
      </c>
      <c r="E1099" t="str">
        <f ca="1">IF(Table1[[#This Row],[is_smoker]]=0,"non-smoker","smoker")</f>
        <v>non-smoker</v>
      </c>
      <c r="F1099" t="s">
        <v>56</v>
      </c>
      <c r="G1099" s="2">
        <v>0.19512195121951201</v>
      </c>
      <c r="H1099" s="2">
        <v>198.36704188851101</v>
      </c>
    </row>
    <row r="1100" spans="1:8" x14ac:dyDescent="0.3">
      <c r="A1100" t="s">
        <v>1168</v>
      </c>
      <c r="B1100" t="s">
        <v>43</v>
      </c>
      <c r="C1100">
        <v>44</v>
      </c>
      <c r="D1100" t="s">
        <v>10</v>
      </c>
      <c r="E1100" t="str">
        <f ca="1">IF(Table1[[#This Row],[is_smoker]]=0,"non-smoker","smoker")</f>
        <v>non-smoker</v>
      </c>
      <c r="F1100" t="s">
        <v>2004</v>
      </c>
      <c r="G1100" s="2">
        <v>1.2073170731707299</v>
      </c>
      <c r="H1100" s="2">
        <v>1110.85311558991</v>
      </c>
    </row>
    <row r="1101" spans="1:8" x14ac:dyDescent="0.3">
      <c r="A1101" t="s">
        <v>1169</v>
      </c>
      <c r="B1101" t="s">
        <v>13</v>
      </c>
      <c r="C1101">
        <v>19</v>
      </c>
      <c r="D1101" t="s">
        <v>17</v>
      </c>
      <c r="E1101" t="str">
        <f ca="1">IF(Table1[[#This Row],[is_smoker]]=0,"non-smoker","smoker")</f>
        <v>non-smoker</v>
      </c>
      <c r="F1101" t="s">
        <v>11</v>
      </c>
      <c r="G1101" s="2">
        <v>1.1544715447154399</v>
      </c>
      <c r="H1101" s="2">
        <v>3654.1261723913599</v>
      </c>
    </row>
    <row r="1102" spans="1:8" x14ac:dyDescent="0.3">
      <c r="A1102" t="s">
        <v>1170</v>
      </c>
      <c r="B1102" t="s">
        <v>29</v>
      </c>
      <c r="C1102">
        <v>18</v>
      </c>
      <c r="D1102" t="s">
        <v>10</v>
      </c>
      <c r="E1102" t="str">
        <f ca="1">IF(Table1[[#This Row],[is_smoker]]=0,"non-smoker","smoker")</f>
        <v>smoker</v>
      </c>
      <c r="F1102" t="s">
        <v>11</v>
      </c>
      <c r="G1102" s="2">
        <v>1.1544715447154399</v>
      </c>
      <c r="H1102" s="2">
        <v>1372.9432807201499</v>
      </c>
    </row>
    <row r="1103" spans="1:8" x14ac:dyDescent="0.3">
      <c r="A1103" t="s">
        <v>1171</v>
      </c>
      <c r="B1103" t="s">
        <v>13</v>
      </c>
      <c r="C1103">
        <v>51</v>
      </c>
      <c r="D1103" t="s">
        <v>17</v>
      </c>
      <c r="E1103" t="str">
        <f ca="1">IF(Table1[[#This Row],[is_smoker]]=0,"non-smoker","smoker")</f>
        <v>non-smoker</v>
      </c>
      <c r="F1103" t="s">
        <v>27</v>
      </c>
      <c r="G1103" s="2">
        <v>0.53252032520325199</v>
      </c>
      <c r="H1103" s="2">
        <v>1341.8403791568701</v>
      </c>
    </row>
    <row r="1104" spans="1:8" x14ac:dyDescent="0.3">
      <c r="A1104" t="s">
        <v>1172</v>
      </c>
      <c r="B1104" t="s">
        <v>113</v>
      </c>
      <c r="C1104">
        <v>37</v>
      </c>
      <c r="D1104" t="s">
        <v>10</v>
      </c>
      <c r="E1104" t="str">
        <f ca="1">IF(Table1[[#This Row],[is_smoker]]=0,"non-smoker","smoker")</f>
        <v>non-smoker</v>
      </c>
      <c r="F1104" t="s">
        <v>24</v>
      </c>
      <c r="G1104" s="2">
        <v>1.70325203252032</v>
      </c>
      <c r="H1104" s="2">
        <v>1647.3210834951101</v>
      </c>
    </row>
    <row r="1105" spans="1:8" x14ac:dyDescent="0.3">
      <c r="A1105" t="s">
        <v>1173</v>
      </c>
      <c r="B1105" t="s">
        <v>85</v>
      </c>
      <c r="C1105">
        <v>23</v>
      </c>
      <c r="D1105" t="s">
        <v>10</v>
      </c>
      <c r="E1105" t="str">
        <f ca="1">IF(Table1[[#This Row],[is_smoker]]=0,"non-smoker","smoker")</f>
        <v>non-smoker</v>
      </c>
      <c r="F1105" t="s">
        <v>24</v>
      </c>
      <c r="G1105" s="2">
        <v>1.70325203252032</v>
      </c>
      <c r="H1105" s="2">
        <v>1820.14651470128</v>
      </c>
    </row>
    <row r="1106" spans="1:8" x14ac:dyDescent="0.3">
      <c r="A1106" t="s">
        <v>1174</v>
      </c>
      <c r="B1106" t="s">
        <v>63</v>
      </c>
      <c r="C1106">
        <v>52</v>
      </c>
      <c r="D1106" t="s">
        <v>10</v>
      </c>
      <c r="E1106" t="str">
        <f ca="1">IF(Table1[[#This Row],[is_smoker]]=0,"non-smoker","smoker")</f>
        <v>non-smoker</v>
      </c>
      <c r="F1106" t="s">
        <v>27</v>
      </c>
      <c r="G1106" s="2">
        <v>0.53252032520325199</v>
      </c>
      <c r="H1106" s="2">
        <v>462.82048627050898</v>
      </c>
    </row>
    <row r="1107" spans="1:8" x14ac:dyDescent="0.3">
      <c r="A1107" t="s">
        <v>1175</v>
      </c>
      <c r="B1107" t="s">
        <v>110</v>
      </c>
      <c r="C1107">
        <v>41</v>
      </c>
      <c r="D1107" t="s">
        <v>17</v>
      </c>
      <c r="E1107" t="str">
        <f ca="1">IF(Table1[[#This Row],[is_smoker]]=0,"non-smoker","smoker")</f>
        <v>non-smoker</v>
      </c>
      <c r="F1107" t="s">
        <v>48</v>
      </c>
      <c r="G1107" s="2">
        <v>0.46341463414634099</v>
      </c>
      <c r="H1107" s="2">
        <v>1253.95816945755</v>
      </c>
    </row>
    <row r="1108" spans="1:8" x14ac:dyDescent="0.3">
      <c r="A1108" t="s">
        <v>1176</v>
      </c>
      <c r="B1108" t="s">
        <v>229</v>
      </c>
      <c r="C1108">
        <v>53</v>
      </c>
      <c r="D1108" t="s">
        <v>10</v>
      </c>
      <c r="E1108" t="str">
        <f ca="1">IF(Table1[[#This Row],[is_smoker]]=0,"non-smoker","smoker")</f>
        <v>non-smoker</v>
      </c>
      <c r="F1108" t="s">
        <v>56</v>
      </c>
      <c r="G1108" s="2">
        <v>0.19512195121951201</v>
      </c>
      <c r="H1108" s="2">
        <v>168.37889392933701</v>
      </c>
    </row>
    <row r="1109" spans="1:8" x14ac:dyDescent="0.3">
      <c r="A1109" t="s">
        <v>1177</v>
      </c>
      <c r="B1109" t="s">
        <v>135</v>
      </c>
      <c r="C1109">
        <v>58</v>
      </c>
      <c r="D1109" t="s">
        <v>17</v>
      </c>
      <c r="E1109" t="str">
        <f ca="1">IF(Table1[[#This Row],[is_smoker]]=0,"non-smoker","smoker")</f>
        <v>non-smoker</v>
      </c>
      <c r="F1109" t="s">
        <v>11</v>
      </c>
      <c r="G1109" s="2">
        <v>1.1544715447154399</v>
      </c>
      <c r="H1109" s="2">
        <v>2767.4759490541401</v>
      </c>
    </row>
    <row r="1110" spans="1:8" x14ac:dyDescent="0.3">
      <c r="A1110" t="s">
        <v>1178</v>
      </c>
      <c r="B1110" t="s">
        <v>113</v>
      </c>
      <c r="C1110">
        <v>59</v>
      </c>
      <c r="D1110" t="s">
        <v>17</v>
      </c>
      <c r="E1110" t="str">
        <f ca="1">IF(Table1[[#This Row],[is_smoker]]=0,"non-smoker","smoker")</f>
        <v>non-smoker</v>
      </c>
      <c r="F1110" t="s">
        <v>11</v>
      </c>
      <c r="G1110" s="2">
        <v>1.1544715447154399</v>
      </c>
      <c r="H1110" s="2">
        <v>2747.8245010866399</v>
      </c>
    </row>
    <row r="1111" spans="1:8" x14ac:dyDescent="0.3">
      <c r="A1111" t="s">
        <v>1179</v>
      </c>
      <c r="B1111" t="s">
        <v>29</v>
      </c>
      <c r="C1111">
        <v>60</v>
      </c>
      <c r="D1111" t="s">
        <v>10</v>
      </c>
      <c r="E1111" t="str">
        <f ca="1">IF(Table1[[#This Row],[is_smoker]]=0,"non-smoker","smoker")</f>
        <v>non-smoker</v>
      </c>
      <c r="F1111" t="s">
        <v>48</v>
      </c>
      <c r="G1111" s="2">
        <v>0.46341463414634099</v>
      </c>
      <c r="H1111" s="2">
        <v>380.440917623497</v>
      </c>
    </row>
    <row r="1112" spans="1:8" x14ac:dyDescent="0.3">
      <c r="A1112" t="s">
        <v>1180</v>
      </c>
      <c r="B1112" t="s">
        <v>82</v>
      </c>
      <c r="C1112">
        <v>64</v>
      </c>
      <c r="D1112" t="s">
        <v>10</v>
      </c>
      <c r="E1112" t="str">
        <f ca="1">IF(Table1[[#This Row],[is_smoker]]=0,"non-smoker","smoker")</f>
        <v>non-smoker</v>
      </c>
      <c r="F1112" t="s">
        <v>11</v>
      </c>
      <c r="G1112" s="2">
        <v>1.1544715447154399</v>
      </c>
      <c r="H1112" s="2">
        <v>921.130694758397</v>
      </c>
    </row>
    <row r="1113" spans="1:8" x14ac:dyDescent="0.3">
      <c r="A1113" t="s">
        <v>1181</v>
      </c>
      <c r="B1113" t="s">
        <v>65</v>
      </c>
      <c r="C1113">
        <v>43</v>
      </c>
      <c r="D1113" t="s">
        <v>10</v>
      </c>
      <c r="E1113" t="str">
        <f ca="1">IF(Table1[[#This Row],[is_smoker]]=0,"non-smoker","smoker")</f>
        <v>non-smoker</v>
      </c>
      <c r="F1113" t="s">
        <v>2004</v>
      </c>
      <c r="G1113" s="2">
        <v>1.2073170731707299</v>
      </c>
      <c r="H1113" s="2">
        <v>1118.7975356909401</v>
      </c>
    </row>
    <row r="1114" spans="1:8" x14ac:dyDescent="0.3">
      <c r="A1114" t="s">
        <v>1182</v>
      </c>
      <c r="B1114" t="s">
        <v>584</v>
      </c>
      <c r="C1114">
        <v>27</v>
      </c>
      <c r="D1114" t="s">
        <v>17</v>
      </c>
      <c r="E1114" t="str">
        <f ca="1">IF(Table1[[#This Row],[is_smoker]]=0,"non-smoker","smoker")</f>
        <v>non-smoker</v>
      </c>
      <c r="F1114" t="s">
        <v>56</v>
      </c>
      <c r="G1114" s="2">
        <v>0.19512195121951201</v>
      </c>
      <c r="H1114" s="2">
        <v>583.37461433907197</v>
      </c>
    </row>
    <row r="1115" spans="1:8" x14ac:dyDescent="0.3">
      <c r="A1115" t="s">
        <v>1183</v>
      </c>
      <c r="B1115" t="s">
        <v>92</v>
      </c>
      <c r="C1115">
        <v>58</v>
      </c>
      <c r="D1115" t="s">
        <v>17</v>
      </c>
      <c r="E1115" t="str">
        <f ca="1">IF(Table1[[#This Row],[is_smoker]]=0,"non-smoker","smoker")</f>
        <v>non-smoker</v>
      </c>
      <c r="F1115" t="s">
        <v>61</v>
      </c>
      <c r="G1115" s="2">
        <v>1.61788617886178</v>
      </c>
      <c r="H1115" s="2">
        <v>3878.3641821251699</v>
      </c>
    </row>
    <row r="1116" spans="1:8" x14ac:dyDescent="0.3">
      <c r="A1116" t="s">
        <v>1184</v>
      </c>
      <c r="B1116" t="s">
        <v>53</v>
      </c>
      <c r="C1116">
        <v>30</v>
      </c>
      <c r="D1116" t="s">
        <v>10</v>
      </c>
      <c r="E1116" t="str">
        <f ca="1">IF(Table1[[#This Row],[is_smoker]]=0,"non-smoker","smoker")</f>
        <v>non-smoker</v>
      </c>
      <c r="F1116" t="s">
        <v>11</v>
      </c>
      <c r="G1116" s="2">
        <v>1.1544715447154399</v>
      </c>
      <c r="H1116" s="2">
        <v>1173.6716645070201</v>
      </c>
    </row>
    <row r="1117" spans="1:8" x14ac:dyDescent="0.3">
      <c r="A1117" t="s">
        <v>1185</v>
      </c>
      <c r="B1117" t="s">
        <v>35</v>
      </c>
      <c r="C1117">
        <v>34</v>
      </c>
      <c r="D1117" t="s">
        <v>17</v>
      </c>
      <c r="E1117" t="str">
        <f ca="1">IF(Table1[[#This Row],[is_smoker]]=0,"non-smoker","smoker")</f>
        <v>non-smoker</v>
      </c>
      <c r="F1117" t="s">
        <v>27</v>
      </c>
      <c r="G1117" s="2">
        <v>0.53252032520325199</v>
      </c>
      <c r="H1117" s="2">
        <v>1514.6543598722201</v>
      </c>
    </row>
    <row r="1118" spans="1:8" x14ac:dyDescent="0.3">
      <c r="A1118" t="s">
        <v>1186</v>
      </c>
      <c r="B1118" t="s">
        <v>23</v>
      </c>
      <c r="C1118">
        <v>48</v>
      </c>
      <c r="D1118" t="s">
        <v>17</v>
      </c>
      <c r="E1118" t="str">
        <f ca="1">IF(Table1[[#This Row],[is_smoker]]=0,"non-smoker","smoker")</f>
        <v>non-smoker</v>
      </c>
      <c r="F1118" t="s">
        <v>2004</v>
      </c>
      <c r="G1118" s="2">
        <v>1.2073170731707299</v>
      </c>
      <c r="H1118" s="2">
        <v>3107.9255114755701</v>
      </c>
    </row>
    <row r="1119" spans="1:8" x14ac:dyDescent="0.3">
      <c r="A1119" t="s">
        <v>1187</v>
      </c>
      <c r="B1119" t="s">
        <v>35</v>
      </c>
      <c r="C1119">
        <v>58</v>
      </c>
      <c r="D1119" t="s">
        <v>17</v>
      </c>
      <c r="E1119" t="str">
        <f ca="1">IF(Table1[[#This Row],[is_smoker]]=0,"non-smoker","smoker")</f>
        <v>non-smoker</v>
      </c>
      <c r="F1119" t="s">
        <v>11</v>
      </c>
      <c r="G1119" s="2">
        <v>1.1544715447154399</v>
      </c>
      <c r="H1119" s="2">
        <v>2767.4759490541401</v>
      </c>
    </row>
    <row r="1120" spans="1:8" x14ac:dyDescent="0.3">
      <c r="A1120" t="s">
        <v>1188</v>
      </c>
      <c r="B1120" t="s">
        <v>229</v>
      </c>
      <c r="C1120">
        <v>26</v>
      </c>
      <c r="D1120" t="s">
        <v>10</v>
      </c>
      <c r="E1120" t="str">
        <f ca="1">IF(Table1[[#This Row],[is_smoker]]=0,"non-smoker","smoker")</f>
        <v>non-smoker</v>
      </c>
      <c r="F1120" t="s">
        <v>2004</v>
      </c>
      <c r="G1120" s="2">
        <v>1.2073170731707299</v>
      </c>
      <c r="H1120" s="2">
        <v>1262.8861014850099</v>
      </c>
    </row>
    <row r="1121" spans="1:8" x14ac:dyDescent="0.3">
      <c r="A1121" t="s">
        <v>1189</v>
      </c>
      <c r="B1121" t="s">
        <v>43</v>
      </c>
      <c r="C1121">
        <v>48</v>
      </c>
      <c r="D1121" t="s">
        <v>10</v>
      </c>
      <c r="E1121" t="str">
        <f ca="1">IF(Table1[[#This Row],[is_smoker]]=0,"non-smoker","smoker")</f>
        <v>non-smoker</v>
      </c>
      <c r="F1121" t="s">
        <v>44</v>
      </c>
      <c r="G1121" s="2">
        <v>1.1341463414634101</v>
      </c>
      <c r="H1121" s="2">
        <v>1014.20310695168</v>
      </c>
    </row>
    <row r="1122" spans="1:8" x14ac:dyDescent="0.3">
      <c r="A1122" t="s">
        <v>1190</v>
      </c>
      <c r="B1122" t="s">
        <v>82</v>
      </c>
      <c r="C1122">
        <v>35</v>
      </c>
      <c r="D1122" t="s">
        <v>17</v>
      </c>
      <c r="E1122" t="str">
        <f ca="1">IF(Table1[[#This Row],[is_smoker]]=0,"non-smoker","smoker")</f>
        <v>non-smoker</v>
      </c>
      <c r="F1122" t="s">
        <v>61</v>
      </c>
      <c r="G1122" s="2">
        <v>1.61788617886178</v>
      </c>
      <c r="H1122" s="2">
        <v>4569.0977783557</v>
      </c>
    </row>
    <row r="1123" spans="1:8" x14ac:dyDescent="0.3">
      <c r="A1123" t="s">
        <v>1191</v>
      </c>
      <c r="B1123" t="s">
        <v>60</v>
      </c>
      <c r="C1123">
        <v>59</v>
      </c>
      <c r="D1123" t="s">
        <v>10</v>
      </c>
      <c r="E1123" t="str">
        <f ca="1">IF(Table1[[#This Row],[is_smoker]]=0,"non-smoker","smoker")</f>
        <v>non-smoker</v>
      </c>
      <c r="F1123" t="s">
        <v>19</v>
      </c>
      <c r="G1123" s="2">
        <v>1.11788617886178</v>
      </c>
      <c r="H1123" s="2">
        <v>924.29355912911501</v>
      </c>
    </row>
    <row r="1124" spans="1:8" x14ac:dyDescent="0.3">
      <c r="A1124" t="s">
        <v>1192</v>
      </c>
      <c r="B1124" t="s">
        <v>113</v>
      </c>
      <c r="C1124">
        <v>59</v>
      </c>
      <c r="D1124" t="s">
        <v>10</v>
      </c>
      <c r="E1124" t="str">
        <f ca="1">IF(Table1[[#This Row],[is_smoker]]=0,"non-smoker","smoker")</f>
        <v>non-smoker</v>
      </c>
      <c r="F1124" t="s">
        <v>27</v>
      </c>
      <c r="G1124" s="2">
        <v>0.53252032520325199</v>
      </c>
      <c r="H1124" s="2">
        <v>440.299840894233</v>
      </c>
    </row>
    <row r="1125" spans="1:8" x14ac:dyDescent="0.3">
      <c r="A1125" t="s">
        <v>1193</v>
      </c>
      <c r="B1125" t="s">
        <v>16</v>
      </c>
      <c r="C1125">
        <v>21</v>
      </c>
      <c r="D1125" t="s">
        <v>10</v>
      </c>
      <c r="E1125" t="str">
        <f ca="1">IF(Table1[[#This Row],[is_smoker]]=0,"non-smoker","smoker")</f>
        <v>non-smoker</v>
      </c>
      <c r="F1125" t="s">
        <v>27</v>
      </c>
      <c r="G1125" s="2">
        <v>0.53252032520325199</v>
      </c>
      <c r="H1125" s="2">
        <v>577.23592013141297</v>
      </c>
    </row>
    <row r="1126" spans="1:8" x14ac:dyDescent="0.3">
      <c r="A1126" t="s">
        <v>1194</v>
      </c>
      <c r="B1126" t="s">
        <v>43</v>
      </c>
      <c r="C1126">
        <v>21</v>
      </c>
      <c r="D1126" t="s">
        <v>10</v>
      </c>
      <c r="E1126" t="str">
        <f ca="1">IF(Table1[[#This Row],[is_smoker]]=0,"non-smoker","smoker")</f>
        <v>non-smoker</v>
      </c>
      <c r="F1126" t="s">
        <v>56</v>
      </c>
      <c r="G1126" s="2">
        <v>0.19512195121951201</v>
      </c>
      <c r="H1126" s="2">
        <v>211.506291345861</v>
      </c>
    </row>
    <row r="1127" spans="1:8" x14ac:dyDescent="0.3">
      <c r="A1127" t="s">
        <v>1195</v>
      </c>
      <c r="B1127" t="s">
        <v>128</v>
      </c>
      <c r="C1127">
        <v>43</v>
      </c>
      <c r="D1127" t="s">
        <v>10</v>
      </c>
      <c r="E1127" t="str">
        <f ca="1">IF(Table1[[#This Row],[is_smoker]]=0,"non-smoker","smoker")</f>
        <v>non-smoker</v>
      </c>
      <c r="F1127" t="s">
        <v>2004</v>
      </c>
      <c r="G1127" s="2">
        <v>1.2073170731707299</v>
      </c>
      <c r="H1127" s="2">
        <v>1118.7975356909401</v>
      </c>
    </row>
    <row r="1128" spans="1:8" x14ac:dyDescent="0.3">
      <c r="A1128" t="s">
        <v>1196</v>
      </c>
      <c r="B1128" t="s">
        <v>50</v>
      </c>
      <c r="C1128">
        <v>49</v>
      </c>
      <c r="D1128" t="s">
        <v>17</v>
      </c>
      <c r="E1128" t="str">
        <f ca="1">IF(Table1[[#This Row],[is_smoker]]=0,"non-smoker","smoker")</f>
        <v>non-smoker</v>
      </c>
      <c r="F1128" t="s">
        <v>48</v>
      </c>
      <c r="G1128" s="2">
        <v>0.46341463414634099</v>
      </c>
      <c r="H1128" s="2">
        <v>1184.4702025080601</v>
      </c>
    </row>
    <row r="1129" spans="1:8" x14ac:dyDescent="0.3">
      <c r="A1129" t="s">
        <v>1197</v>
      </c>
      <c r="B1129" t="s">
        <v>13</v>
      </c>
      <c r="C1129">
        <v>19</v>
      </c>
      <c r="D1129" t="s">
        <v>17</v>
      </c>
      <c r="E1129" t="str">
        <f ca="1">IF(Table1[[#This Row],[is_smoker]]=0,"non-smoker","smoker")</f>
        <v>non-smoker</v>
      </c>
      <c r="F1129" t="s">
        <v>27</v>
      </c>
      <c r="G1129" s="2">
        <v>0.53252032520325199</v>
      </c>
      <c r="H1129" s="2">
        <v>1685.5300302227699</v>
      </c>
    </row>
    <row r="1130" spans="1:8" x14ac:dyDescent="0.3">
      <c r="A1130" t="s">
        <v>1198</v>
      </c>
      <c r="B1130" t="s">
        <v>43</v>
      </c>
      <c r="C1130">
        <v>19</v>
      </c>
      <c r="D1130" t="s">
        <v>17</v>
      </c>
      <c r="E1130" t="str">
        <f ca="1">IF(Table1[[#This Row],[is_smoker]]=0,"non-smoker","smoker")</f>
        <v>non-smoker</v>
      </c>
      <c r="F1130" t="s">
        <v>2004</v>
      </c>
      <c r="G1130" s="2">
        <v>1.2073170731707299</v>
      </c>
      <c r="H1130" s="2">
        <v>3821.3925112684301</v>
      </c>
    </row>
    <row r="1131" spans="1:8" x14ac:dyDescent="0.3">
      <c r="A1131" t="s">
        <v>1199</v>
      </c>
      <c r="B1131" t="s">
        <v>584</v>
      </c>
      <c r="C1131">
        <v>47</v>
      </c>
      <c r="D1131" t="s">
        <v>17</v>
      </c>
      <c r="E1131" t="str">
        <f ca="1">IF(Table1[[#This Row],[is_smoker]]=0,"non-smoker","smoker")</f>
        <v>non-smoker</v>
      </c>
      <c r="F1131" t="s">
        <v>2004</v>
      </c>
      <c r="G1131" s="2">
        <v>1.2073170731707299</v>
      </c>
      <c r="H1131" s="2">
        <v>3130.1522717550001</v>
      </c>
    </row>
    <row r="1132" spans="1:8" x14ac:dyDescent="0.3">
      <c r="A1132" t="s">
        <v>1200</v>
      </c>
      <c r="B1132" t="s">
        <v>60</v>
      </c>
      <c r="C1132">
        <v>46</v>
      </c>
      <c r="D1132" t="s">
        <v>10</v>
      </c>
      <c r="E1132" t="str">
        <f ca="1">IF(Table1[[#This Row],[is_smoker]]=0,"non-smoker","smoker")</f>
        <v>non-smoker</v>
      </c>
      <c r="F1132" t="s">
        <v>14</v>
      </c>
      <c r="G1132" s="2">
        <v>0.66666666666666596</v>
      </c>
      <c r="H1132" s="2">
        <v>604.71996721590199</v>
      </c>
    </row>
    <row r="1133" spans="1:8" x14ac:dyDescent="0.3">
      <c r="A1133" t="s">
        <v>1201</v>
      </c>
      <c r="B1133" t="s">
        <v>29</v>
      </c>
      <c r="C1133">
        <v>36</v>
      </c>
      <c r="D1133" t="s">
        <v>17</v>
      </c>
      <c r="E1133" t="str">
        <f ca="1">IF(Table1[[#This Row],[is_smoker]]=0,"non-smoker","smoker")</f>
        <v>non-smoker</v>
      </c>
      <c r="F1133" t="s">
        <v>14</v>
      </c>
      <c r="G1133" s="2">
        <v>0.66666666666666596</v>
      </c>
      <c r="H1133" s="2">
        <v>1869.3747156565901</v>
      </c>
    </row>
    <row r="1134" spans="1:8" x14ac:dyDescent="0.3">
      <c r="A1134" t="s">
        <v>1202</v>
      </c>
      <c r="B1134" t="s">
        <v>37</v>
      </c>
      <c r="C1134">
        <v>49</v>
      </c>
      <c r="D1134" t="s">
        <v>17</v>
      </c>
      <c r="E1134" t="str">
        <f ca="1">IF(Table1[[#This Row],[is_smoker]]=0,"non-smoker","smoker")</f>
        <v>non-smoker</v>
      </c>
      <c r="F1134" t="s">
        <v>19</v>
      </c>
      <c r="G1134" s="2">
        <v>1.11788617886178</v>
      </c>
      <c r="H1134" s="2">
        <v>2857.2746113132998</v>
      </c>
    </row>
    <row r="1135" spans="1:8" x14ac:dyDescent="0.3">
      <c r="A1135" t="s">
        <v>1203</v>
      </c>
      <c r="B1135" t="s">
        <v>13</v>
      </c>
      <c r="C1135">
        <v>20</v>
      </c>
      <c r="D1135" t="s">
        <v>17</v>
      </c>
      <c r="E1135" t="str">
        <f ca="1">IF(Table1[[#This Row],[is_smoker]]=0,"non-smoker","smoker")</f>
        <v>smoker</v>
      </c>
      <c r="F1135" t="s">
        <v>44</v>
      </c>
      <c r="G1135" s="2">
        <v>1.1341463414634101</v>
      </c>
      <c r="H1135" s="2">
        <v>3827.73753174176</v>
      </c>
    </row>
    <row r="1136" spans="1:8" x14ac:dyDescent="0.3">
      <c r="A1136" t="s">
        <v>1204</v>
      </c>
      <c r="B1136" t="s">
        <v>31</v>
      </c>
      <c r="C1136">
        <v>22</v>
      </c>
      <c r="D1136" t="s">
        <v>10</v>
      </c>
      <c r="E1136" t="str">
        <f ca="1">IF(Table1[[#This Row],[is_smoker]]=0,"non-smoker","smoker")</f>
        <v>non-smoker</v>
      </c>
      <c r="F1136" t="s">
        <v>19</v>
      </c>
      <c r="G1136" s="2">
        <v>1.11788617886178</v>
      </c>
      <c r="H1136" s="2">
        <v>1203.1502979690799</v>
      </c>
    </row>
    <row r="1137" spans="1:8" x14ac:dyDescent="0.3">
      <c r="A1137" t="s">
        <v>1205</v>
      </c>
      <c r="B1137" t="s">
        <v>113</v>
      </c>
      <c r="C1137">
        <v>62</v>
      </c>
      <c r="D1137" t="s">
        <v>10</v>
      </c>
      <c r="E1137" t="str">
        <f ca="1">IF(Table1[[#This Row],[is_smoker]]=0,"non-smoker","smoker")</f>
        <v>non-smoker</v>
      </c>
      <c r="F1137" t="s">
        <v>11</v>
      </c>
      <c r="G1137" s="2">
        <v>1.1544715447154399</v>
      </c>
      <c r="H1137" s="2">
        <v>934.35299464799596</v>
      </c>
    </row>
    <row r="1138" spans="1:8" x14ac:dyDescent="0.3">
      <c r="A1138" t="s">
        <v>1206</v>
      </c>
      <c r="B1138" t="s">
        <v>110</v>
      </c>
      <c r="C1138">
        <v>54</v>
      </c>
      <c r="D1138" t="s">
        <v>17</v>
      </c>
      <c r="E1138" t="str">
        <f ca="1">IF(Table1[[#This Row],[is_smoker]]=0,"non-smoker","smoker")</f>
        <v>non-smoker</v>
      </c>
      <c r="F1138" t="s">
        <v>48</v>
      </c>
      <c r="G1138" s="2">
        <v>0.46341463414634099</v>
      </c>
      <c r="H1138" s="2">
        <v>1143.00945083072</v>
      </c>
    </row>
    <row r="1139" spans="1:8" x14ac:dyDescent="0.3">
      <c r="A1139" t="s">
        <v>1207</v>
      </c>
      <c r="B1139" t="s">
        <v>110</v>
      </c>
      <c r="C1139">
        <v>54</v>
      </c>
      <c r="D1139" t="s">
        <v>10</v>
      </c>
      <c r="E1139" t="str">
        <f ca="1">IF(Table1[[#This Row],[is_smoker]]=0,"non-smoker","smoker")</f>
        <v>non-smoker</v>
      </c>
      <c r="F1139" t="s">
        <v>11</v>
      </c>
      <c r="G1139" s="2">
        <v>1.1544715447154399</v>
      </c>
      <c r="H1139" s="2">
        <v>989.167619679327</v>
      </c>
    </row>
    <row r="1140" spans="1:8" x14ac:dyDescent="0.3">
      <c r="A1140" t="s">
        <v>1208</v>
      </c>
      <c r="B1140" t="s">
        <v>13</v>
      </c>
      <c r="C1140">
        <v>25</v>
      </c>
      <c r="D1140" t="s">
        <v>10</v>
      </c>
      <c r="E1140" t="str">
        <f ca="1">IF(Table1[[#This Row],[is_smoker]]=0,"non-smoker","smoker")</f>
        <v>non-smoker</v>
      </c>
      <c r="F1140" t="s">
        <v>24</v>
      </c>
      <c r="G1140" s="2">
        <v>1.70325203252032</v>
      </c>
      <c r="H1140" s="2">
        <v>1794.3890941137299</v>
      </c>
    </row>
    <row r="1141" spans="1:8" x14ac:dyDescent="0.3">
      <c r="A1141" t="s">
        <v>1209</v>
      </c>
      <c r="B1141" t="s">
        <v>265</v>
      </c>
      <c r="C1141">
        <v>18</v>
      </c>
      <c r="D1141" t="s">
        <v>10</v>
      </c>
      <c r="E1141" t="str">
        <f ca="1">IF(Table1[[#This Row],[is_smoker]]=0,"non-smoker","smoker")</f>
        <v>non-smoker</v>
      </c>
      <c r="F1141" t="s">
        <v>11</v>
      </c>
      <c r="G1141" s="2">
        <v>1.1544715447154399</v>
      </c>
      <c r="H1141" s="2">
        <v>1278.4536396470901</v>
      </c>
    </row>
    <row r="1142" spans="1:8" x14ac:dyDescent="0.3">
      <c r="A1142" t="s">
        <v>1210</v>
      </c>
      <c r="B1142" t="s">
        <v>50</v>
      </c>
      <c r="C1142">
        <v>25</v>
      </c>
      <c r="D1142" t="s">
        <v>10</v>
      </c>
      <c r="E1142" t="str">
        <f ca="1">IF(Table1[[#This Row],[is_smoker]]=0,"non-smoker","smoker")</f>
        <v>non-smoker</v>
      </c>
      <c r="F1142" t="s">
        <v>56</v>
      </c>
      <c r="G1142" s="2">
        <v>0.19512195121951201</v>
      </c>
      <c r="H1142" s="2">
        <v>205.562473788685</v>
      </c>
    </row>
    <row r="1143" spans="1:8" x14ac:dyDescent="0.3">
      <c r="A1143" t="s">
        <v>1211</v>
      </c>
      <c r="B1143" t="s">
        <v>60</v>
      </c>
      <c r="C1143">
        <v>44</v>
      </c>
      <c r="D1143" t="s">
        <v>10</v>
      </c>
      <c r="E1143" t="str">
        <f ca="1">IF(Table1[[#This Row],[is_smoker]]=0,"non-smoker","smoker")</f>
        <v>non-smoker</v>
      </c>
      <c r="F1143" t="s">
        <v>11</v>
      </c>
      <c r="G1143" s="2">
        <v>1.1544715447154399</v>
      </c>
      <c r="H1143" s="2">
        <v>1062.2299152442199</v>
      </c>
    </row>
    <row r="1144" spans="1:8" x14ac:dyDescent="0.3">
      <c r="A1144" t="s">
        <v>1212</v>
      </c>
      <c r="B1144" t="s">
        <v>170</v>
      </c>
      <c r="C1144">
        <v>57</v>
      </c>
      <c r="D1144" t="s">
        <v>10</v>
      </c>
      <c r="E1144" t="str">
        <f ca="1">IF(Table1[[#This Row],[is_smoker]]=0,"non-smoker","smoker")</f>
        <v>non-smoker</v>
      </c>
      <c r="F1144" t="s">
        <v>19</v>
      </c>
      <c r="G1144" s="2">
        <v>1.11788617886178</v>
      </c>
      <c r="H1144" s="2">
        <v>937.56126011267202</v>
      </c>
    </row>
    <row r="1145" spans="1:8" x14ac:dyDescent="0.3">
      <c r="A1145" t="s">
        <v>1213</v>
      </c>
      <c r="B1145" t="s">
        <v>13</v>
      </c>
      <c r="C1145">
        <v>27</v>
      </c>
      <c r="D1145" t="s">
        <v>17</v>
      </c>
      <c r="E1145" t="str">
        <f ca="1">IF(Table1[[#This Row],[is_smoker]]=0,"non-smoker","smoker")</f>
        <v>non-smoker</v>
      </c>
      <c r="F1145" t="s">
        <v>27</v>
      </c>
      <c r="G1145" s="2">
        <v>0.53252032520325199</v>
      </c>
      <c r="H1145" s="2">
        <v>1592.1265516337101</v>
      </c>
    </row>
    <row r="1146" spans="1:8" x14ac:dyDescent="0.3">
      <c r="A1146" s="1" t="s">
        <v>1214</v>
      </c>
      <c r="B1146" t="s">
        <v>43</v>
      </c>
      <c r="C1146">
        <v>43</v>
      </c>
      <c r="D1146" t="s">
        <v>17</v>
      </c>
      <c r="E1146" t="str">
        <f ca="1">IF(Table1[[#This Row],[is_smoker]]=0,"non-smoker","smoker")</f>
        <v>non-smoker</v>
      </c>
      <c r="F1146" t="s">
        <v>27</v>
      </c>
      <c r="G1146" s="2">
        <v>0.53252032520325199</v>
      </c>
      <c r="H1146" s="2">
        <v>1420.5606033726499</v>
      </c>
    </row>
    <row r="1147" spans="1:8" x14ac:dyDescent="0.3">
      <c r="A1147" t="s">
        <v>1215</v>
      </c>
      <c r="B1147" t="s">
        <v>35</v>
      </c>
      <c r="C1147">
        <v>48</v>
      </c>
      <c r="D1147" t="s">
        <v>10</v>
      </c>
      <c r="E1147" t="str">
        <f ca="1">IF(Table1[[#This Row],[is_smoker]]=0,"non-smoker","smoker")</f>
        <v>non-smoker</v>
      </c>
      <c r="F1147" t="s">
        <v>14</v>
      </c>
      <c r="G1147" s="2">
        <v>0.66666666666666596</v>
      </c>
      <c r="H1147" s="2">
        <v>596.16239978522106</v>
      </c>
    </row>
    <row r="1148" spans="1:8" x14ac:dyDescent="0.3">
      <c r="A1148" t="s">
        <v>1216</v>
      </c>
      <c r="B1148" t="s">
        <v>243</v>
      </c>
      <c r="C1148">
        <v>23</v>
      </c>
      <c r="D1148" t="s">
        <v>10</v>
      </c>
      <c r="E1148" t="str">
        <f ca="1">IF(Table1[[#This Row],[is_smoker]]=0,"non-smoker","smoker")</f>
        <v>non-smoker</v>
      </c>
      <c r="F1148" t="s">
        <v>48</v>
      </c>
      <c r="G1148" s="2">
        <v>0.46341463414634099</v>
      </c>
      <c r="H1148" s="2">
        <v>495.218860801782</v>
      </c>
    </row>
    <row r="1149" spans="1:8" x14ac:dyDescent="0.3">
      <c r="A1149" s="1" t="s">
        <v>1217</v>
      </c>
      <c r="B1149" t="s">
        <v>16</v>
      </c>
      <c r="C1149">
        <v>37</v>
      </c>
      <c r="D1149" t="s">
        <v>17</v>
      </c>
      <c r="E1149" t="str">
        <f ca="1">IF(Table1[[#This Row],[is_smoker]]=0,"non-smoker","smoker")</f>
        <v>non-smoker</v>
      </c>
      <c r="F1149" t="s">
        <v>48</v>
      </c>
      <c r="G1149" s="2">
        <v>0.46341463414634099</v>
      </c>
      <c r="H1149" s="2">
        <v>1290.2162395528201</v>
      </c>
    </row>
    <row r="1150" spans="1:8" x14ac:dyDescent="0.3">
      <c r="A1150" t="s">
        <v>1218</v>
      </c>
      <c r="B1150" t="s">
        <v>175</v>
      </c>
      <c r="C1150">
        <v>31</v>
      </c>
      <c r="D1150" t="s">
        <v>17</v>
      </c>
      <c r="E1150" t="str">
        <f ca="1">IF(Table1[[#This Row],[is_smoker]]=0,"non-smoker","smoker")</f>
        <v>non-smoker</v>
      </c>
      <c r="F1150" t="s">
        <v>56</v>
      </c>
      <c r="G1150" s="2">
        <v>0.19512195121951201</v>
      </c>
      <c r="H1150" s="2">
        <v>566.98043403807299</v>
      </c>
    </row>
    <row r="1151" spans="1:8" x14ac:dyDescent="0.3">
      <c r="A1151" t="s">
        <v>1219</v>
      </c>
      <c r="B1151" t="s">
        <v>9</v>
      </c>
      <c r="C1151">
        <v>51</v>
      </c>
      <c r="D1151" t="s">
        <v>17</v>
      </c>
      <c r="E1151" t="str">
        <f ca="1">IF(Table1[[#This Row],[is_smoker]]=0,"non-smoker","smoker")</f>
        <v>non-smoker</v>
      </c>
      <c r="F1151" t="s">
        <v>19</v>
      </c>
      <c r="G1151" s="2">
        <v>1.11788617886178</v>
      </c>
      <c r="H1151" s="2">
        <v>2816.8404905964799</v>
      </c>
    </row>
    <row r="1152" spans="1:8" x14ac:dyDescent="0.3">
      <c r="A1152" t="s">
        <v>1220</v>
      </c>
      <c r="B1152" t="s">
        <v>113</v>
      </c>
      <c r="C1152">
        <v>49</v>
      </c>
      <c r="D1152" t="s">
        <v>17</v>
      </c>
      <c r="E1152" t="str">
        <f ca="1">IF(Table1[[#This Row],[is_smoker]]=0,"non-smoker","smoker")</f>
        <v>non-smoker</v>
      </c>
      <c r="F1152" t="s">
        <v>14</v>
      </c>
      <c r="G1152" s="2">
        <v>0.66666666666666596</v>
      </c>
      <c r="H1152" s="2">
        <v>1703.9746772922899</v>
      </c>
    </row>
    <row r="1153" spans="1:8" x14ac:dyDescent="0.3">
      <c r="A1153" t="s">
        <v>1221</v>
      </c>
      <c r="B1153" t="s">
        <v>9</v>
      </c>
      <c r="C1153">
        <v>53</v>
      </c>
      <c r="D1153" t="s">
        <v>17</v>
      </c>
      <c r="E1153" t="str">
        <f ca="1">IF(Table1[[#This Row],[is_smoker]]=0,"non-smoker","smoker")</f>
        <v>non-smoker</v>
      </c>
      <c r="F1153" t="s">
        <v>24</v>
      </c>
      <c r="G1153" s="2">
        <v>1.70325203252032</v>
      </c>
      <c r="H1153" s="2">
        <v>4231.1055224210604</v>
      </c>
    </row>
    <row r="1154" spans="1:8" x14ac:dyDescent="0.3">
      <c r="A1154" t="s">
        <v>1222</v>
      </c>
      <c r="B1154" t="s">
        <v>88</v>
      </c>
      <c r="C1154">
        <v>42</v>
      </c>
      <c r="D1154" t="s">
        <v>17</v>
      </c>
      <c r="E1154" t="str">
        <f ca="1">IF(Table1[[#This Row],[is_smoker]]=0,"non-smoker","smoker")</f>
        <v>non-smoker</v>
      </c>
      <c r="F1154" t="s">
        <v>48</v>
      </c>
      <c r="G1154" s="2">
        <v>0.46341463414634099</v>
      </c>
      <c r="H1154" s="2">
        <v>1245.05399317052</v>
      </c>
    </row>
    <row r="1155" spans="1:8" x14ac:dyDescent="0.3">
      <c r="A1155" t="s">
        <v>1223</v>
      </c>
      <c r="B1155" t="s">
        <v>13</v>
      </c>
      <c r="C1155">
        <v>60</v>
      </c>
      <c r="D1155" t="s">
        <v>17</v>
      </c>
      <c r="E1155" t="str">
        <f ca="1">IF(Table1[[#This Row],[is_smoker]]=0,"non-smoker","smoker")</f>
        <v>non-smoker</v>
      </c>
      <c r="F1155" t="s">
        <v>27</v>
      </c>
      <c r="G1155" s="2">
        <v>0.53252032520325199</v>
      </c>
      <c r="H1155" s="2">
        <v>1258.4822182175401</v>
      </c>
    </row>
    <row r="1156" spans="1:8" x14ac:dyDescent="0.3">
      <c r="A1156" t="s">
        <v>1224</v>
      </c>
      <c r="B1156" t="s">
        <v>46</v>
      </c>
      <c r="C1156">
        <v>19</v>
      </c>
      <c r="D1156" t="s">
        <v>10</v>
      </c>
      <c r="E1156" t="str">
        <f ca="1">IF(Table1[[#This Row],[is_smoker]]=0,"non-smoker","smoker")</f>
        <v>non-smoker</v>
      </c>
      <c r="F1156" t="s">
        <v>11</v>
      </c>
      <c r="G1156" s="2">
        <v>1.1544715447154399</v>
      </c>
      <c r="H1156" s="2">
        <v>1269.3755245556199</v>
      </c>
    </row>
    <row r="1157" spans="1:8" x14ac:dyDescent="0.3">
      <c r="A1157" t="s">
        <v>1225</v>
      </c>
      <c r="B1157" t="s">
        <v>192</v>
      </c>
      <c r="C1157">
        <v>54</v>
      </c>
      <c r="D1157" t="s">
        <v>17</v>
      </c>
      <c r="E1157" t="str">
        <f ca="1">IF(Table1[[#This Row],[is_smoker]]=0,"non-smoker","smoker")</f>
        <v>non-smoker</v>
      </c>
      <c r="F1157" t="s">
        <v>11</v>
      </c>
      <c r="G1157" s="2">
        <v>1.1544715447154399</v>
      </c>
      <c r="H1157" s="2">
        <v>2847.4972283853199</v>
      </c>
    </row>
    <row r="1158" spans="1:8" x14ac:dyDescent="0.3">
      <c r="A1158" t="s">
        <v>1226</v>
      </c>
      <c r="B1158" t="s">
        <v>35</v>
      </c>
      <c r="C1158">
        <v>50</v>
      </c>
      <c r="D1158" t="s">
        <v>17</v>
      </c>
      <c r="E1158" t="str">
        <f ca="1">IF(Table1[[#This Row],[is_smoker]]=0,"non-smoker","smoker")</f>
        <v>non-smoker</v>
      </c>
      <c r="F1158" t="s">
        <v>14</v>
      </c>
      <c r="G1158" s="2">
        <v>0.66666666666666596</v>
      </c>
      <c r="H1158" s="2">
        <v>1691.87499862293</v>
      </c>
    </row>
    <row r="1159" spans="1:8" x14ac:dyDescent="0.3">
      <c r="A1159" t="s">
        <v>1227</v>
      </c>
      <c r="B1159" t="s">
        <v>29</v>
      </c>
      <c r="C1159">
        <v>46</v>
      </c>
      <c r="D1159" t="s">
        <v>17</v>
      </c>
      <c r="E1159" t="str">
        <f ca="1">IF(Table1[[#This Row],[is_smoker]]=0,"non-smoker","smoker")</f>
        <v>non-smoker</v>
      </c>
      <c r="F1159" t="s">
        <v>19</v>
      </c>
      <c r="G1159" s="2">
        <v>1.11788617886178</v>
      </c>
      <c r="H1159" s="2">
        <v>2919.0166572155799</v>
      </c>
    </row>
    <row r="1160" spans="1:8" x14ac:dyDescent="0.3">
      <c r="A1160" t="s">
        <v>1228</v>
      </c>
      <c r="B1160" t="s">
        <v>29</v>
      </c>
      <c r="C1160">
        <v>28</v>
      </c>
      <c r="D1160" t="s">
        <v>17</v>
      </c>
      <c r="E1160" t="str">
        <f ca="1">IF(Table1[[#This Row],[is_smoker]]=0,"non-smoker","smoker")</f>
        <v>non-smoker</v>
      </c>
      <c r="F1160" t="s">
        <v>19</v>
      </c>
      <c r="G1160" s="2">
        <v>1.11788617886178</v>
      </c>
      <c r="H1160" s="2">
        <v>3318.5175561605802</v>
      </c>
    </row>
    <row r="1161" spans="1:8" x14ac:dyDescent="0.3">
      <c r="A1161" t="s">
        <v>1229</v>
      </c>
      <c r="B1161" t="s">
        <v>33</v>
      </c>
      <c r="C1161">
        <v>61</v>
      </c>
      <c r="D1161" t="s">
        <v>10</v>
      </c>
      <c r="E1161" t="str">
        <f ca="1">IF(Table1[[#This Row],[is_smoker]]=0,"non-smoker","smoker")</f>
        <v>non-smoker</v>
      </c>
      <c r="F1161" t="s">
        <v>44</v>
      </c>
      <c r="G1161" s="2">
        <v>1.1341463414634101</v>
      </c>
      <c r="H1161" s="2">
        <v>924.46762941791997</v>
      </c>
    </row>
    <row r="1162" spans="1:8" x14ac:dyDescent="0.3">
      <c r="A1162" t="s">
        <v>1230</v>
      </c>
      <c r="B1162" t="s">
        <v>29</v>
      </c>
      <c r="C1162">
        <v>51</v>
      </c>
      <c r="D1162" t="s">
        <v>10</v>
      </c>
      <c r="E1162" t="str">
        <f ca="1">IF(Table1[[#This Row],[is_smoker]]=0,"non-smoker","smoker")</f>
        <v>non-smoker</v>
      </c>
      <c r="F1162" t="s">
        <v>61</v>
      </c>
      <c r="G1162" s="2">
        <v>1.61788617886178</v>
      </c>
      <c r="H1162" s="2">
        <v>1416.1824705429001</v>
      </c>
    </row>
    <row r="1163" spans="1:8" x14ac:dyDescent="0.3">
      <c r="A1163" t="s">
        <v>1231</v>
      </c>
      <c r="B1163" t="s">
        <v>106</v>
      </c>
      <c r="C1163">
        <v>65</v>
      </c>
      <c r="D1163" t="s">
        <v>17</v>
      </c>
      <c r="E1163" t="str">
        <f ca="1">IF(Table1[[#This Row],[is_smoker]]=0,"non-smoker","smoker")</f>
        <v>non-smoker</v>
      </c>
      <c r="F1163" t="s">
        <v>48</v>
      </c>
      <c r="G1163" s="2">
        <v>0.46341463414634099</v>
      </c>
      <c r="H1163" s="2">
        <v>1056.83289046666</v>
      </c>
    </row>
    <row r="1164" spans="1:8" x14ac:dyDescent="0.3">
      <c r="A1164" t="s">
        <v>1232</v>
      </c>
      <c r="B1164" t="s">
        <v>110</v>
      </c>
      <c r="C1164">
        <v>50</v>
      </c>
      <c r="D1164" t="s">
        <v>17</v>
      </c>
      <c r="E1164" t="str">
        <f ca="1">IF(Table1[[#This Row],[is_smoker]]=0,"non-smoker","smoker")</f>
        <v>non-smoker</v>
      </c>
      <c r="F1164" t="s">
        <v>19</v>
      </c>
      <c r="G1164" s="2">
        <v>1.11788617886178</v>
      </c>
      <c r="H1164" s="2">
        <v>2836.9855159835802</v>
      </c>
    </row>
    <row r="1165" spans="1:8" x14ac:dyDescent="0.3">
      <c r="A1165" t="s">
        <v>1233</v>
      </c>
      <c r="B1165" t="s">
        <v>82</v>
      </c>
      <c r="C1165">
        <v>61</v>
      </c>
      <c r="D1165" t="s">
        <v>17</v>
      </c>
      <c r="E1165" t="str">
        <f ca="1">IF(Table1[[#This Row],[is_smoker]]=0,"non-smoker","smoker")</f>
        <v>non-smoker</v>
      </c>
      <c r="F1165" t="s">
        <v>27</v>
      </c>
      <c r="G1165" s="2">
        <v>0.53252032520325199</v>
      </c>
      <c r="H1165" s="2">
        <v>1249.5459173121001</v>
      </c>
    </row>
    <row r="1166" spans="1:8" x14ac:dyDescent="0.3">
      <c r="A1166" t="s">
        <v>1234</v>
      </c>
      <c r="B1166" t="s">
        <v>16</v>
      </c>
      <c r="C1166">
        <v>39</v>
      </c>
      <c r="D1166" t="s">
        <v>10</v>
      </c>
      <c r="E1166" t="str">
        <f ca="1">IF(Table1[[#This Row],[is_smoker]]=0,"non-smoker","smoker")</f>
        <v>non-smoker</v>
      </c>
      <c r="F1166" t="s">
        <v>14</v>
      </c>
      <c r="G1166" s="2">
        <v>0.66666666666666596</v>
      </c>
      <c r="H1166" s="2">
        <v>635.650443833753</v>
      </c>
    </row>
    <row r="1167" spans="1:8" x14ac:dyDescent="0.3">
      <c r="A1167" t="s">
        <v>1235</v>
      </c>
      <c r="B1167" t="s">
        <v>26</v>
      </c>
      <c r="C1167">
        <v>55</v>
      </c>
      <c r="D1167" t="s">
        <v>10</v>
      </c>
      <c r="E1167" t="str">
        <f ca="1">IF(Table1[[#This Row],[is_smoker]]=0,"non-smoker","smoker")</f>
        <v>non-smoker</v>
      </c>
      <c r="F1167" t="s">
        <v>24</v>
      </c>
      <c r="G1167" s="2">
        <v>1.70325203252032</v>
      </c>
      <c r="H1167" s="2">
        <v>1449.0077575687101</v>
      </c>
    </row>
    <row r="1168" spans="1:8" x14ac:dyDescent="0.3">
      <c r="A1168" t="s">
        <v>1236</v>
      </c>
      <c r="B1168" t="s">
        <v>128</v>
      </c>
      <c r="C1168">
        <v>57</v>
      </c>
      <c r="D1168" t="s">
        <v>10</v>
      </c>
      <c r="E1168" t="str">
        <f ca="1">IF(Table1[[#This Row],[is_smoker]]=0,"non-smoker","smoker")</f>
        <v>non-smoker</v>
      </c>
      <c r="F1168" t="s">
        <v>44</v>
      </c>
      <c r="G1168" s="2">
        <v>1.1341463414634101</v>
      </c>
      <c r="H1168" s="2">
        <v>951.19851480522004</v>
      </c>
    </row>
    <row r="1169" spans="1:8" x14ac:dyDescent="0.3">
      <c r="A1169" t="s">
        <v>1237</v>
      </c>
      <c r="B1169" t="s">
        <v>41</v>
      </c>
      <c r="C1169">
        <v>59</v>
      </c>
      <c r="D1169" t="s">
        <v>10</v>
      </c>
      <c r="E1169" t="str">
        <f ca="1">IF(Table1[[#This Row],[is_smoker]]=0,"non-smoker","smoker")</f>
        <v>non-smoker</v>
      </c>
      <c r="F1169" t="s">
        <v>2004</v>
      </c>
      <c r="G1169" s="2">
        <v>1.2073170731707299</v>
      </c>
      <c r="H1169" s="2">
        <v>998.23704385944495</v>
      </c>
    </row>
    <row r="1170" spans="1:8" x14ac:dyDescent="0.3">
      <c r="A1170" t="s">
        <v>1238</v>
      </c>
      <c r="B1170" t="s">
        <v>85</v>
      </c>
      <c r="C1170">
        <v>60</v>
      </c>
      <c r="D1170" t="s">
        <v>17</v>
      </c>
      <c r="E1170" t="str">
        <f ca="1">IF(Table1[[#This Row],[is_smoker]]=0,"non-smoker","smoker")</f>
        <v>non-smoker</v>
      </c>
      <c r="F1170" t="s">
        <v>56</v>
      </c>
      <c r="G1170" s="2">
        <v>0.19512195121951201</v>
      </c>
      <c r="H1170" s="2">
        <v>461.12325553009299</v>
      </c>
    </row>
    <row r="1171" spans="1:8" x14ac:dyDescent="0.3">
      <c r="A1171" t="s">
        <v>1239</v>
      </c>
      <c r="B1171" t="s">
        <v>157</v>
      </c>
      <c r="C1171">
        <v>47</v>
      </c>
      <c r="D1171" t="s">
        <v>17</v>
      </c>
      <c r="E1171" t="str">
        <f ca="1">IF(Table1[[#This Row],[is_smoker]]=0,"non-smoker","smoker")</f>
        <v>non-smoker</v>
      </c>
      <c r="F1171" t="s">
        <v>24</v>
      </c>
      <c r="G1171" s="2">
        <v>1.70325203252032</v>
      </c>
      <c r="H1171" s="2">
        <v>4415.9387268193504</v>
      </c>
    </row>
    <row r="1172" spans="1:8" x14ac:dyDescent="0.3">
      <c r="A1172" t="s">
        <v>1240</v>
      </c>
      <c r="B1172" t="s">
        <v>13</v>
      </c>
      <c r="C1172">
        <v>65</v>
      </c>
      <c r="D1172" t="s">
        <v>10</v>
      </c>
      <c r="E1172" t="str">
        <f ca="1">IF(Table1[[#This Row],[is_smoker]]=0,"non-smoker","smoker")</f>
        <v>non-smoker</v>
      </c>
      <c r="F1172" t="s">
        <v>2004</v>
      </c>
      <c r="G1172" s="2">
        <v>1.2073170731707299</v>
      </c>
      <c r="H1172" s="2">
        <v>956.45490806008399</v>
      </c>
    </row>
    <row r="1173" spans="1:8" x14ac:dyDescent="0.3">
      <c r="A1173" t="s">
        <v>1241</v>
      </c>
      <c r="B1173" t="s">
        <v>170</v>
      </c>
      <c r="C1173">
        <v>24</v>
      </c>
      <c r="D1173" t="s">
        <v>10</v>
      </c>
      <c r="E1173" t="str">
        <f ca="1">IF(Table1[[#This Row],[is_smoker]]=0,"non-smoker","smoker")</f>
        <v>non-smoker</v>
      </c>
      <c r="F1173" t="s">
        <v>11</v>
      </c>
      <c r="G1173" s="2">
        <v>1.1544715447154399</v>
      </c>
      <c r="H1173" s="2">
        <v>1224.9427787613799</v>
      </c>
    </row>
    <row r="1174" spans="1:8" x14ac:dyDescent="0.3">
      <c r="A1174" t="s">
        <v>1242</v>
      </c>
      <c r="B1174" t="s">
        <v>502</v>
      </c>
      <c r="C1174">
        <v>48</v>
      </c>
      <c r="D1174" t="s">
        <v>10</v>
      </c>
      <c r="E1174" t="str">
        <f ca="1">IF(Table1[[#This Row],[is_smoker]]=0,"non-smoker","smoker")</f>
        <v>non-smoker</v>
      </c>
      <c r="F1174" t="s">
        <v>56</v>
      </c>
      <c r="G1174" s="2">
        <v>0.19512195121951201</v>
      </c>
      <c r="H1174" s="2">
        <v>174.48655603469899</v>
      </c>
    </row>
    <row r="1175" spans="1:8" x14ac:dyDescent="0.3">
      <c r="A1175" t="s">
        <v>1243</v>
      </c>
      <c r="B1175" t="s">
        <v>13</v>
      </c>
      <c r="C1175">
        <v>47</v>
      </c>
      <c r="D1175" t="s">
        <v>10</v>
      </c>
      <c r="E1175" t="str">
        <f ca="1">IF(Table1[[#This Row],[is_smoker]]=0,"non-smoker","smoker")</f>
        <v>non-smoker</v>
      </c>
      <c r="F1175" t="s">
        <v>48</v>
      </c>
      <c r="G1175" s="2">
        <v>0.46341463414634099</v>
      </c>
      <c r="H1175" s="2">
        <v>417.36924948712903</v>
      </c>
    </row>
    <row r="1176" spans="1:8" x14ac:dyDescent="0.3">
      <c r="A1176" t="s">
        <v>1244</v>
      </c>
      <c r="B1176" t="s">
        <v>53</v>
      </c>
      <c r="C1176">
        <v>54</v>
      </c>
      <c r="D1176" t="s">
        <v>10</v>
      </c>
      <c r="E1176" t="str">
        <f ca="1">IF(Table1[[#This Row],[is_smoker]]=0,"non-smoker","smoker")</f>
        <v>non-smoker</v>
      </c>
      <c r="F1176" t="s">
        <v>27</v>
      </c>
      <c r="G1176" s="2">
        <v>0.53252032520325199</v>
      </c>
      <c r="H1176" s="2">
        <v>456.27097949997102</v>
      </c>
    </row>
    <row r="1177" spans="1:8" x14ac:dyDescent="0.3">
      <c r="A1177" t="s">
        <v>1245</v>
      </c>
      <c r="B1177" t="s">
        <v>21</v>
      </c>
      <c r="C1177">
        <v>29</v>
      </c>
      <c r="D1177" t="s">
        <v>10</v>
      </c>
      <c r="E1177" t="str">
        <f ca="1">IF(Table1[[#This Row],[is_smoker]]=0,"non-smoker","smoker")</f>
        <v>non-smoker</v>
      </c>
      <c r="F1177" t="s">
        <v>56</v>
      </c>
      <c r="G1177" s="2">
        <v>0.19512195121951201</v>
      </c>
      <c r="H1177" s="2">
        <v>199.78569129665101</v>
      </c>
    </row>
    <row r="1178" spans="1:8" x14ac:dyDescent="0.3">
      <c r="A1178" t="s">
        <v>1246</v>
      </c>
      <c r="B1178" t="s">
        <v>82</v>
      </c>
      <c r="C1178">
        <v>29</v>
      </c>
      <c r="D1178" t="s">
        <v>17</v>
      </c>
      <c r="E1178" t="str">
        <f ca="1">IF(Table1[[#This Row],[is_smoker]]=0,"non-smoker","smoker")</f>
        <v>non-smoker</v>
      </c>
      <c r="F1178" t="s">
        <v>61</v>
      </c>
      <c r="G1178" s="2">
        <v>1.61788617886178</v>
      </c>
      <c r="H1178" s="2">
        <v>4768.69596353624</v>
      </c>
    </row>
    <row r="1179" spans="1:8" x14ac:dyDescent="0.3">
      <c r="A1179" t="s">
        <v>1247</v>
      </c>
      <c r="B1179" t="s">
        <v>13</v>
      </c>
      <c r="C1179">
        <v>45</v>
      </c>
      <c r="D1179" t="s">
        <v>17</v>
      </c>
      <c r="E1179" t="str">
        <f ca="1">IF(Table1[[#This Row],[is_smoker]]=0,"non-smoker","smoker")</f>
        <v>non-smoker</v>
      </c>
      <c r="F1179" t="s">
        <v>2004</v>
      </c>
      <c r="G1179" s="2">
        <v>1.2073170731707299</v>
      </c>
      <c r="H1179" s="2">
        <v>3175.0838023974802</v>
      </c>
    </row>
    <row r="1180" spans="1:8" x14ac:dyDescent="0.3">
      <c r="A1180" t="s">
        <v>1248</v>
      </c>
      <c r="B1180" t="s">
        <v>13</v>
      </c>
      <c r="C1180">
        <v>26</v>
      </c>
      <c r="D1180" t="s">
        <v>17</v>
      </c>
      <c r="E1180" t="str">
        <f ca="1">IF(Table1[[#This Row],[is_smoker]]=0,"non-smoker","smoker")</f>
        <v>non-smoker</v>
      </c>
      <c r="F1180" t="s">
        <v>48</v>
      </c>
      <c r="G1180" s="2">
        <v>0.46341463414634099</v>
      </c>
      <c r="H1180" s="2">
        <v>1395.4234096300299</v>
      </c>
    </row>
    <row r="1181" spans="1:8" x14ac:dyDescent="0.3">
      <c r="A1181" t="s">
        <v>1249</v>
      </c>
      <c r="B1181" t="s">
        <v>50</v>
      </c>
      <c r="C1181">
        <v>53</v>
      </c>
      <c r="D1181" t="s">
        <v>17</v>
      </c>
      <c r="E1181" t="str">
        <f ca="1">IF(Table1[[#This Row],[is_smoker]]=0,"non-smoker","smoker")</f>
        <v>non-smoker</v>
      </c>
      <c r="F1181" t="s">
        <v>61</v>
      </c>
      <c r="G1181" s="2">
        <v>1.61788617886178</v>
      </c>
      <c r="H1181" s="2">
        <v>4019.0453411064</v>
      </c>
    </row>
    <row r="1182" spans="1:8" x14ac:dyDescent="0.3">
      <c r="A1182" t="s">
        <v>1250</v>
      </c>
      <c r="B1182" t="s">
        <v>113</v>
      </c>
      <c r="C1182">
        <v>45</v>
      </c>
      <c r="D1182" t="s">
        <v>17</v>
      </c>
      <c r="E1182" t="str">
        <f ca="1">IF(Table1[[#This Row],[is_smoker]]=0,"non-smoker","smoker")</f>
        <v>non-smoker</v>
      </c>
      <c r="F1182" t="s">
        <v>11</v>
      </c>
      <c r="G1182" s="2">
        <v>1.1544715447154399</v>
      </c>
      <c r="H1182" s="2">
        <v>3036.10707030601</v>
      </c>
    </row>
    <row r="1183" spans="1:8" x14ac:dyDescent="0.3">
      <c r="A1183" t="s">
        <v>1251</v>
      </c>
      <c r="B1183" t="s">
        <v>60</v>
      </c>
      <c r="C1183">
        <v>51</v>
      </c>
      <c r="D1183" t="s">
        <v>17</v>
      </c>
      <c r="E1183" t="str">
        <f ca="1">IF(Table1[[#This Row],[is_smoker]]=0,"non-smoker","smoker")</f>
        <v>non-smoker</v>
      </c>
      <c r="F1183" t="s">
        <v>61</v>
      </c>
      <c r="G1183" s="2">
        <v>1.61788617886178</v>
      </c>
      <c r="H1183" s="2">
        <v>4076.7364191178099</v>
      </c>
    </row>
    <row r="1184" spans="1:8" x14ac:dyDescent="0.3">
      <c r="A1184" t="s">
        <v>1252</v>
      </c>
      <c r="B1184" t="s">
        <v>245</v>
      </c>
      <c r="C1184">
        <v>34</v>
      </c>
      <c r="D1184" t="s">
        <v>17</v>
      </c>
      <c r="E1184" t="str">
        <f ca="1">IF(Table1[[#This Row],[is_smoker]]=0,"non-smoker","smoker")</f>
        <v>non-smoker</v>
      </c>
      <c r="F1184" t="s">
        <v>44</v>
      </c>
      <c r="G1184" s="2">
        <v>1.1341463414634101</v>
      </c>
      <c r="H1184" s="2">
        <v>3225.8669191171698</v>
      </c>
    </row>
    <row r="1185" spans="1:8" x14ac:dyDescent="0.3">
      <c r="A1185" t="s">
        <v>1253</v>
      </c>
      <c r="B1185" t="s">
        <v>23</v>
      </c>
      <c r="C1185">
        <v>63</v>
      </c>
      <c r="D1185" t="s">
        <v>17</v>
      </c>
      <c r="E1185" t="str">
        <f ca="1">IF(Table1[[#This Row],[is_smoker]]=0,"non-smoker","smoker")</f>
        <v>non-smoker</v>
      </c>
      <c r="F1185" t="s">
        <v>44</v>
      </c>
      <c r="G1185" s="2">
        <v>1.1341463414634101</v>
      </c>
      <c r="H1185" s="2">
        <v>2623.58657609383</v>
      </c>
    </row>
    <row r="1186" spans="1:8" x14ac:dyDescent="0.3">
      <c r="A1186" t="s">
        <v>1254</v>
      </c>
      <c r="B1186" t="s">
        <v>175</v>
      </c>
      <c r="C1186">
        <v>37</v>
      </c>
      <c r="D1186" t="s">
        <v>17</v>
      </c>
      <c r="E1186" t="str">
        <f ca="1">IF(Table1[[#This Row],[is_smoker]]=0,"non-smoker","smoker")</f>
        <v>non-smoker</v>
      </c>
      <c r="F1186" t="s">
        <v>14</v>
      </c>
      <c r="G1186" s="2">
        <v>0.66666666666666596</v>
      </c>
      <c r="H1186" s="2">
        <v>1856.1005551461701</v>
      </c>
    </row>
    <row r="1187" spans="1:8" x14ac:dyDescent="0.3">
      <c r="A1187" t="s">
        <v>1255</v>
      </c>
      <c r="B1187" t="s">
        <v>13</v>
      </c>
      <c r="C1187">
        <v>46</v>
      </c>
      <c r="D1187" t="s">
        <v>10</v>
      </c>
      <c r="E1187" t="str">
        <f ca="1">IF(Table1[[#This Row],[is_smoker]]=0,"non-smoker","smoker")</f>
        <v>non-smoker</v>
      </c>
      <c r="F1187" t="s">
        <v>24</v>
      </c>
      <c r="G1187" s="2">
        <v>1.70325203252032</v>
      </c>
      <c r="H1187" s="2">
        <v>1544.98576989916</v>
      </c>
    </row>
    <row r="1188" spans="1:8" x14ac:dyDescent="0.3">
      <c r="A1188" t="s">
        <v>1256</v>
      </c>
      <c r="B1188" t="s">
        <v>166</v>
      </c>
      <c r="C1188">
        <v>52</v>
      </c>
      <c r="D1188" t="s">
        <v>17</v>
      </c>
      <c r="E1188" t="str">
        <f ca="1">IF(Table1[[#This Row],[is_smoker]]=0,"non-smoker","smoker")</f>
        <v>non-smoker</v>
      </c>
      <c r="F1188" t="s">
        <v>24</v>
      </c>
      <c r="G1188" s="2">
        <v>1.70325203252032</v>
      </c>
      <c r="H1188" s="2">
        <v>4261.3648603030697</v>
      </c>
    </row>
    <row r="1189" spans="1:8" x14ac:dyDescent="0.3">
      <c r="A1189" t="s">
        <v>1257</v>
      </c>
      <c r="B1189" t="s">
        <v>60</v>
      </c>
      <c r="C1189">
        <v>28</v>
      </c>
      <c r="D1189" t="s">
        <v>10</v>
      </c>
      <c r="E1189" t="str">
        <f ca="1">IF(Table1[[#This Row],[is_smoker]]=0,"non-smoker","smoker")</f>
        <v>non-smoker</v>
      </c>
      <c r="F1189" t="s">
        <v>48</v>
      </c>
      <c r="G1189" s="2">
        <v>0.46341463414634099</v>
      </c>
      <c r="H1189" s="2">
        <v>477.88440513530702</v>
      </c>
    </row>
    <row r="1190" spans="1:8" x14ac:dyDescent="0.3">
      <c r="A1190" t="s">
        <v>1258</v>
      </c>
      <c r="B1190" t="s">
        <v>29</v>
      </c>
      <c r="C1190">
        <v>20</v>
      </c>
      <c r="D1190" t="s">
        <v>10</v>
      </c>
      <c r="E1190" t="str">
        <f ca="1">IF(Table1[[#This Row],[is_smoker]]=0,"non-smoker","smoker")</f>
        <v>non-smoker</v>
      </c>
      <c r="F1190" t="s">
        <v>11</v>
      </c>
      <c r="G1190" s="2">
        <v>1.1544715447154399</v>
      </c>
      <c r="H1190" s="2">
        <v>1260.3618718514099</v>
      </c>
    </row>
    <row r="1191" spans="1:8" x14ac:dyDescent="0.3">
      <c r="A1191" t="s">
        <v>1259</v>
      </c>
      <c r="B1191" t="s">
        <v>85</v>
      </c>
      <c r="C1191">
        <v>61</v>
      </c>
      <c r="D1191" t="s">
        <v>17</v>
      </c>
      <c r="E1191" t="str">
        <f ca="1">IF(Table1[[#This Row],[is_smoker]]=0,"non-smoker","smoker")</f>
        <v>non-smoker</v>
      </c>
      <c r="F1191" t="s">
        <v>19</v>
      </c>
      <c r="G1191" s="2">
        <v>1.11788617886178</v>
      </c>
      <c r="H1191" s="2">
        <v>2623.0925745101399</v>
      </c>
    </row>
    <row r="1192" spans="1:8" x14ac:dyDescent="0.3">
      <c r="A1192" s="1" t="s">
        <v>1260</v>
      </c>
      <c r="B1192" t="s">
        <v>60</v>
      </c>
      <c r="C1192">
        <v>63</v>
      </c>
      <c r="D1192" t="s">
        <v>10</v>
      </c>
      <c r="E1192" t="str">
        <f ca="1">IF(Table1[[#This Row],[is_smoker]]=0,"non-smoker","smoker")</f>
        <v>non-smoker</v>
      </c>
      <c r="F1192" t="s">
        <v>44</v>
      </c>
      <c r="G1192" s="2">
        <v>1.1341463414634101</v>
      </c>
      <c r="H1192" s="2">
        <v>911.38522019527102</v>
      </c>
    </row>
    <row r="1193" spans="1:8" x14ac:dyDescent="0.3">
      <c r="A1193" t="s">
        <v>1261</v>
      </c>
      <c r="B1193" t="s">
        <v>157</v>
      </c>
      <c r="C1193">
        <v>43</v>
      </c>
      <c r="D1193" t="s">
        <v>17</v>
      </c>
      <c r="E1193" t="str">
        <f ca="1">IF(Table1[[#This Row],[is_smoker]]=0,"non-smoker","smoker")</f>
        <v>non-smoker</v>
      </c>
      <c r="F1193" t="s">
        <v>48</v>
      </c>
      <c r="G1193" s="2">
        <v>0.46341463414634099</v>
      </c>
      <c r="H1193" s="2">
        <v>1236.21304415635</v>
      </c>
    </row>
    <row r="1194" spans="1:8" x14ac:dyDescent="0.3">
      <c r="A1194" t="s">
        <v>1262</v>
      </c>
      <c r="B1194" t="s">
        <v>37</v>
      </c>
      <c r="C1194">
        <v>18</v>
      </c>
      <c r="D1194" t="s">
        <v>10</v>
      </c>
      <c r="E1194" t="str">
        <f ca="1">IF(Table1[[#This Row],[is_smoker]]=0,"non-smoker","smoker")</f>
        <v>non-smoker</v>
      </c>
      <c r="F1194" t="s">
        <v>19</v>
      </c>
      <c r="G1194" s="2">
        <v>1.11788617886178</v>
      </c>
      <c r="H1194" s="2">
        <v>1237.93926374278</v>
      </c>
    </row>
    <row r="1195" spans="1:8" x14ac:dyDescent="0.3">
      <c r="A1195" s="1" t="s">
        <v>1263</v>
      </c>
      <c r="B1195" t="s">
        <v>50</v>
      </c>
      <c r="C1195">
        <v>64</v>
      </c>
      <c r="D1195" t="s">
        <v>17</v>
      </c>
      <c r="E1195" t="str">
        <f ca="1">IF(Table1[[#This Row],[is_smoker]]=0,"non-smoker","smoker")</f>
        <v>non-smoker</v>
      </c>
      <c r="F1195" t="s">
        <v>24</v>
      </c>
      <c r="G1195" s="2">
        <v>1.70325203252032</v>
      </c>
      <c r="H1195" s="2">
        <v>3912.1036802275198</v>
      </c>
    </row>
    <row r="1196" spans="1:8" x14ac:dyDescent="0.3">
      <c r="A1196" t="s">
        <v>1264</v>
      </c>
      <c r="B1196" t="s">
        <v>229</v>
      </c>
      <c r="C1196">
        <v>24</v>
      </c>
      <c r="D1196" t="s">
        <v>10</v>
      </c>
      <c r="E1196" t="str">
        <f ca="1">IF(Table1[[#This Row],[is_smoker]]=0,"non-smoker","smoker")</f>
        <v>non-smoker</v>
      </c>
      <c r="F1196" t="s">
        <v>14</v>
      </c>
      <c r="G1196" s="2">
        <v>0.66666666666666596</v>
      </c>
      <c r="H1196" s="2">
        <v>707.36132294671597</v>
      </c>
    </row>
    <row r="1197" spans="1:8" x14ac:dyDescent="0.3">
      <c r="A1197" s="1" t="s">
        <v>1265</v>
      </c>
      <c r="B1197" t="s">
        <v>13</v>
      </c>
      <c r="C1197">
        <v>21</v>
      </c>
      <c r="D1197" t="s">
        <v>17</v>
      </c>
      <c r="E1197" t="str">
        <f ca="1">IF(Table1[[#This Row],[is_smoker]]=0,"non-smoker","smoker")</f>
        <v>non-smoker</v>
      </c>
      <c r="F1197" t="s">
        <v>61</v>
      </c>
      <c r="G1197" s="2">
        <v>1.61788617886178</v>
      </c>
      <c r="H1197" s="2">
        <v>5048.4556289163802</v>
      </c>
    </row>
    <row r="1198" spans="1:8" x14ac:dyDescent="0.3">
      <c r="A1198" t="s">
        <v>1266</v>
      </c>
      <c r="B1198" t="s">
        <v>13</v>
      </c>
      <c r="C1198">
        <v>30</v>
      </c>
      <c r="D1198" t="s">
        <v>17</v>
      </c>
      <c r="E1198" t="str">
        <f ca="1">IF(Table1[[#This Row],[is_smoker]]=0,"non-smoker","smoker")</f>
        <v>non-smoker</v>
      </c>
      <c r="F1198" t="s">
        <v>44</v>
      </c>
      <c r="G1198" s="2">
        <v>1.1341463414634101</v>
      </c>
      <c r="H1198" s="2">
        <v>3319.14252568861</v>
      </c>
    </row>
    <row r="1199" spans="1:8" x14ac:dyDescent="0.3">
      <c r="A1199" t="s">
        <v>1267</v>
      </c>
      <c r="B1199" t="s">
        <v>29</v>
      </c>
      <c r="C1199">
        <v>35</v>
      </c>
      <c r="D1199" t="s">
        <v>17</v>
      </c>
      <c r="E1199" t="str">
        <f ca="1">IF(Table1[[#This Row],[is_smoker]]=0,"non-smoker","smoker")</f>
        <v>non-smoker</v>
      </c>
      <c r="F1199" t="s">
        <v>48</v>
      </c>
      <c r="G1199" s="2">
        <v>0.46341463414634099</v>
      </c>
      <c r="H1199" s="2">
        <v>1308.7365495792701</v>
      </c>
    </row>
    <row r="1200" spans="1:8" x14ac:dyDescent="0.3">
      <c r="A1200" t="s">
        <v>1268</v>
      </c>
      <c r="B1200" t="s">
        <v>60</v>
      </c>
      <c r="C1200">
        <v>55</v>
      </c>
      <c r="D1200" t="s">
        <v>17</v>
      </c>
      <c r="E1200" t="str">
        <f ca="1">IF(Table1[[#This Row],[is_smoker]]=0,"non-smoker","smoker")</f>
        <v>non-smoker</v>
      </c>
      <c r="F1200" t="s">
        <v>56</v>
      </c>
      <c r="G1200" s="2">
        <v>0.19512195121951201</v>
      </c>
      <c r="H1200" s="2">
        <v>477.84972859318401</v>
      </c>
    </row>
    <row r="1201" spans="1:8" x14ac:dyDescent="0.3">
      <c r="A1201" t="s">
        <v>1269</v>
      </c>
      <c r="B1201" t="s">
        <v>82</v>
      </c>
      <c r="C1201">
        <v>24</v>
      </c>
      <c r="D1201" t="s">
        <v>10</v>
      </c>
      <c r="E1201" t="str">
        <f ca="1">IF(Table1[[#This Row],[is_smoker]]=0,"non-smoker","smoker")</f>
        <v>non-smoker</v>
      </c>
      <c r="F1201" t="s">
        <v>19</v>
      </c>
      <c r="G1201" s="2">
        <v>1.11788617886178</v>
      </c>
      <c r="H1201" s="2">
        <v>1186.1241695752799</v>
      </c>
    </row>
    <row r="1202" spans="1:8" x14ac:dyDescent="0.3">
      <c r="A1202" t="s">
        <v>1270</v>
      </c>
      <c r="B1202" t="s">
        <v>39</v>
      </c>
      <c r="C1202">
        <v>37</v>
      </c>
      <c r="D1202" t="s">
        <v>10</v>
      </c>
      <c r="E1202" t="str">
        <f ca="1">IF(Table1[[#This Row],[is_smoker]]=0,"non-smoker","smoker")</f>
        <v>non-smoker</v>
      </c>
      <c r="F1202" t="s">
        <v>61</v>
      </c>
      <c r="G1202" s="2">
        <v>1.61788617886178</v>
      </c>
      <c r="H1202" s="2">
        <v>1564.7584516254201</v>
      </c>
    </row>
    <row r="1203" spans="1:8" x14ac:dyDescent="0.3">
      <c r="A1203" t="s">
        <v>1271</v>
      </c>
      <c r="B1203" t="s">
        <v>60</v>
      </c>
      <c r="C1203">
        <v>24</v>
      </c>
      <c r="D1203" t="s">
        <v>17</v>
      </c>
      <c r="E1203" t="str">
        <f ca="1">IF(Table1[[#This Row],[is_smoker]]=0,"non-smoker","smoker")</f>
        <v>smoker</v>
      </c>
      <c r="F1203" t="s">
        <v>44</v>
      </c>
      <c r="G1203" s="2">
        <v>1.1341463414634101</v>
      </c>
      <c r="H1203" s="2">
        <v>3720.16922537764</v>
      </c>
    </row>
    <row r="1204" spans="1:8" x14ac:dyDescent="0.3">
      <c r="A1204" t="s">
        <v>1272</v>
      </c>
      <c r="B1204" t="s">
        <v>16</v>
      </c>
      <c r="C1204">
        <v>38</v>
      </c>
      <c r="D1204" t="s">
        <v>10</v>
      </c>
      <c r="E1204" t="str">
        <f ca="1">IF(Table1[[#This Row],[is_smoker]]=0,"non-smoker","smoker")</f>
        <v>non-smoker</v>
      </c>
      <c r="F1204" t="s">
        <v>24</v>
      </c>
      <c r="G1204" s="2">
        <v>1.70325203252032</v>
      </c>
      <c r="H1204" s="2">
        <v>1635.6236938324701</v>
      </c>
    </row>
    <row r="1205" spans="1:8" x14ac:dyDescent="0.3">
      <c r="A1205" t="s">
        <v>1273</v>
      </c>
      <c r="B1205" t="s">
        <v>29</v>
      </c>
      <c r="C1205">
        <v>52</v>
      </c>
      <c r="D1205" t="s">
        <v>10</v>
      </c>
      <c r="E1205" t="str">
        <f ca="1">IF(Table1[[#This Row],[is_smoker]]=0,"non-smoker","smoker")</f>
        <v>non-smoker</v>
      </c>
      <c r="F1205" t="s">
        <v>11</v>
      </c>
      <c r="G1205" s="2">
        <v>1.1544715447154399</v>
      </c>
      <c r="H1205" s="2">
        <v>1003.3665503879701</v>
      </c>
    </row>
    <row r="1206" spans="1:8" x14ac:dyDescent="0.3">
      <c r="A1206" t="s">
        <v>1274</v>
      </c>
      <c r="B1206" t="s">
        <v>21</v>
      </c>
      <c r="C1206">
        <v>63</v>
      </c>
      <c r="D1206" t="s">
        <v>17</v>
      </c>
      <c r="E1206" t="str">
        <f ca="1">IF(Table1[[#This Row],[is_smoker]]=0,"non-smoker","smoker")</f>
        <v>non-smoker</v>
      </c>
      <c r="F1206" t="s">
        <v>19</v>
      </c>
      <c r="G1206" s="2">
        <v>1.11788617886178</v>
      </c>
      <c r="H1206" s="2">
        <v>2585.9724316337001</v>
      </c>
    </row>
    <row r="1207" spans="1:8" x14ac:dyDescent="0.3">
      <c r="A1207" t="s">
        <v>1275</v>
      </c>
      <c r="B1207" t="s">
        <v>178</v>
      </c>
      <c r="C1207">
        <v>28</v>
      </c>
      <c r="D1207" t="s">
        <v>17</v>
      </c>
      <c r="E1207" t="str">
        <f ca="1">IF(Table1[[#This Row],[is_smoker]]=0,"non-smoker","smoker")</f>
        <v>non-smoker</v>
      </c>
      <c r="F1207" t="s">
        <v>24</v>
      </c>
      <c r="G1207" s="2">
        <v>1.70325203252032</v>
      </c>
      <c r="H1207" s="2">
        <v>5056.2140219319399</v>
      </c>
    </row>
    <row r="1208" spans="1:8" x14ac:dyDescent="0.3">
      <c r="A1208" t="s">
        <v>1276</v>
      </c>
      <c r="B1208" t="s">
        <v>29</v>
      </c>
      <c r="C1208">
        <v>27</v>
      </c>
      <c r="D1208" t="s">
        <v>10</v>
      </c>
      <c r="E1208" t="str">
        <f ca="1">IF(Table1[[#This Row],[is_smoker]]=0,"non-smoker","smoker")</f>
        <v>non-smoker</v>
      </c>
      <c r="F1208" t="s">
        <v>44</v>
      </c>
      <c r="G1208" s="2">
        <v>1.1341463414634101</v>
      </c>
      <c r="H1208" s="2">
        <v>1177.9234668608899</v>
      </c>
    </row>
    <row r="1209" spans="1:8" x14ac:dyDescent="0.3">
      <c r="A1209" t="s">
        <v>1277</v>
      </c>
      <c r="B1209" t="s">
        <v>229</v>
      </c>
      <c r="C1209">
        <v>18</v>
      </c>
      <c r="D1209" t="s">
        <v>17</v>
      </c>
      <c r="E1209" t="str">
        <f ca="1">IF(Table1[[#This Row],[is_smoker]]=0,"non-smoker","smoker")</f>
        <v>non-smoker</v>
      </c>
      <c r="F1209" t="s">
        <v>19</v>
      </c>
      <c r="G1209" s="2">
        <v>1.11788617886178</v>
      </c>
      <c r="H1209" s="2">
        <v>3563.6312312363102</v>
      </c>
    </row>
    <row r="1210" spans="1:8" x14ac:dyDescent="0.3">
      <c r="A1210" t="s">
        <v>1278</v>
      </c>
      <c r="B1210" t="s">
        <v>254</v>
      </c>
      <c r="C1210">
        <v>31</v>
      </c>
      <c r="D1210" t="s">
        <v>10</v>
      </c>
      <c r="E1210" t="str">
        <f ca="1">IF(Table1[[#This Row],[is_smoker]]=0,"non-smoker","smoker")</f>
        <v>non-smoker</v>
      </c>
      <c r="F1210" t="s">
        <v>61</v>
      </c>
      <c r="G1210" s="2">
        <v>1.61788617886178</v>
      </c>
      <c r="H1210" s="2">
        <v>1633.11394812406</v>
      </c>
    </row>
    <row r="1211" spans="1:8" x14ac:dyDescent="0.3">
      <c r="A1211" t="s">
        <v>1279</v>
      </c>
      <c r="B1211" t="s">
        <v>82</v>
      </c>
      <c r="C1211">
        <v>39</v>
      </c>
      <c r="D1211" t="s">
        <v>17</v>
      </c>
      <c r="E1211" t="str">
        <f ca="1">IF(Table1[[#This Row],[is_smoker]]=0,"non-smoker","smoker")</f>
        <v>non-smoker</v>
      </c>
      <c r="F1211" t="s">
        <v>44</v>
      </c>
      <c r="G1211" s="2">
        <v>1.1341463414634101</v>
      </c>
      <c r="H1211" s="2">
        <v>3112.9498807700302</v>
      </c>
    </row>
    <row r="1212" spans="1:8" x14ac:dyDescent="0.3">
      <c r="A1212" t="s">
        <v>1280</v>
      </c>
      <c r="B1212" t="s">
        <v>23</v>
      </c>
      <c r="C1212">
        <v>23</v>
      </c>
      <c r="D1212" t="s">
        <v>17</v>
      </c>
      <c r="E1212" t="str">
        <f ca="1">IF(Table1[[#This Row],[is_smoker]]=0,"non-smoker","smoker")</f>
        <v>non-smoker</v>
      </c>
      <c r="F1212" t="s">
        <v>2004</v>
      </c>
      <c r="G1212" s="2">
        <v>1.2073170731707299</v>
      </c>
      <c r="H1212" s="2">
        <v>3714.0025147023298</v>
      </c>
    </row>
    <row r="1213" spans="1:8" x14ac:dyDescent="0.3">
      <c r="A1213" t="s">
        <v>1281</v>
      </c>
      <c r="B1213" t="s">
        <v>16</v>
      </c>
      <c r="C1213">
        <v>27</v>
      </c>
      <c r="D1213" t="s">
        <v>17</v>
      </c>
      <c r="E1213" t="str">
        <f ca="1">IF(Table1[[#This Row],[is_smoker]]=0,"non-smoker","smoker")</f>
        <v>non-smoker</v>
      </c>
      <c r="F1213" t="s">
        <v>48</v>
      </c>
      <c r="G1213" s="2">
        <v>0.46341463414634099</v>
      </c>
      <c r="H1213" s="2">
        <v>1385.51470905529</v>
      </c>
    </row>
    <row r="1214" spans="1:8" x14ac:dyDescent="0.3">
      <c r="A1214" t="s">
        <v>1282</v>
      </c>
      <c r="B1214" t="s">
        <v>85</v>
      </c>
      <c r="C1214">
        <v>49</v>
      </c>
      <c r="D1214" t="s">
        <v>10</v>
      </c>
      <c r="E1214" t="str">
        <f ca="1">IF(Table1[[#This Row],[is_smoker]]=0,"non-smoker","smoker")</f>
        <v>non-smoker</v>
      </c>
      <c r="F1214" t="s">
        <v>61</v>
      </c>
      <c r="G1214" s="2">
        <v>1.61788617886178</v>
      </c>
      <c r="H1214" s="2">
        <v>1436.5109531680801</v>
      </c>
    </row>
    <row r="1215" spans="1:8" x14ac:dyDescent="0.3">
      <c r="A1215" t="s">
        <v>1283</v>
      </c>
      <c r="B1215" t="s">
        <v>175</v>
      </c>
      <c r="C1215">
        <v>52</v>
      </c>
      <c r="D1215" t="s">
        <v>10</v>
      </c>
      <c r="E1215" t="str">
        <f ca="1">IF(Table1[[#This Row],[is_smoker]]=0,"non-smoker","smoker")</f>
        <v>non-smoker</v>
      </c>
      <c r="F1215" t="s">
        <v>19</v>
      </c>
      <c r="G1215" s="2">
        <v>1.11788617886178</v>
      </c>
      <c r="H1215" s="2">
        <v>971.56972308694696</v>
      </c>
    </row>
    <row r="1216" spans="1:8" x14ac:dyDescent="0.3">
      <c r="A1216" t="s">
        <v>1284</v>
      </c>
      <c r="B1216" t="s">
        <v>82</v>
      </c>
      <c r="C1216">
        <v>22</v>
      </c>
      <c r="D1216" t="s">
        <v>17</v>
      </c>
      <c r="E1216" t="str">
        <f ca="1">IF(Table1[[#This Row],[is_smoker]]=0,"non-smoker","smoker")</f>
        <v>smoker</v>
      </c>
      <c r="F1216" t="s">
        <v>11</v>
      </c>
      <c r="G1216" s="2">
        <v>1.1544715447154399</v>
      </c>
      <c r="H1216" s="2">
        <v>3841.1968135797601</v>
      </c>
    </row>
    <row r="1217" spans="1:8" x14ac:dyDescent="0.3">
      <c r="A1217" t="s">
        <v>1285</v>
      </c>
      <c r="B1217" t="s">
        <v>113</v>
      </c>
      <c r="C1217">
        <v>27</v>
      </c>
      <c r="D1217" t="s">
        <v>10</v>
      </c>
      <c r="E1217" t="str">
        <f ca="1">IF(Table1[[#This Row],[is_smoker]]=0,"non-smoker","smoker")</f>
        <v>non-smoker</v>
      </c>
      <c r="F1217" t="s">
        <v>24</v>
      </c>
      <c r="G1217" s="2">
        <v>1.70325203252032</v>
      </c>
      <c r="H1217" s="2">
        <v>1768.9961742462799</v>
      </c>
    </row>
    <row r="1218" spans="1:8" x14ac:dyDescent="0.3">
      <c r="A1218" t="s">
        <v>1286</v>
      </c>
      <c r="B1218" t="s">
        <v>31</v>
      </c>
      <c r="C1218">
        <v>41</v>
      </c>
      <c r="D1218" t="s">
        <v>17</v>
      </c>
      <c r="E1218" t="str">
        <f ca="1">IF(Table1[[#This Row],[is_smoker]]=0,"non-smoker","smoker")</f>
        <v>non-smoker</v>
      </c>
      <c r="F1218" t="s">
        <v>56</v>
      </c>
      <c r="G1218" s="2">
        <v>0.19512195121951201</v>
      </c>
      <c r="H1218" s="2">
        <v>527.982387140024</v>
      </c>
    </row>
    <row r="1219" spans="1:8" x14ac:dyDescent="0.3">
      <c r="A1219" t="s">
        <v>1287</v>
      </c>
      <c r="B1219" t="s">
        <v>938</v>
      </c>
      <c r="C1219">
        <v>36</v>
      </c>
      <c r="D1219" t="s">
        <v>17</v>
      </c>
      <c r="E1219" t="str">
        <f ca="1">IF(Table1[[#This Row],[is_smoker]]=0,"non-smoker","smoker")</f>
        <v>non-smoker</v>
      </c>
      <c r="F1219" t="s">
        <v>24</v>
      </c>
      <c r="G1219" s="2">
        <v>1.70325203252032</v>
      </c>
      <c r="H1219" s="2">
        <v>4776.0244259762903</v>
      </c>
    </row>
    <row r="1220" spans="1:8" x14ac:dyDescent="0.3">
      <c r="A1220" t="s">
        <v>1288</v>
      </c>
      <c r="B1220" t="s">
        <v>60</v>
      </c>
      <c r="C1220">
        <v>20</v>
      </c>
      <c r="D1220" t="s">
        <v>10</v>
      </c>
      <c r="E1220" t="str">
        <f ca="1">IF(Table1[[#This Row],[is_smoker]]=0,"non-smoker","smoker")</f>
        <v>non-smoker</v>
      </c>
      <c r="F1220" t="s">
        <v>19</v>
      </c>
      <c r="G1220" s="2">
        <v>1.11788617886178</v>
      </c>
      <c r="H1220" s="2">
        <v>1220.42082661668</v>
      </c>
    </row>
    <row r="1221" spans="1:8" x14ac:dyDescent="0.3">
      <c r="A1221" t="s">
        <v>1289</v>
      </c>
      <c r="B1221" t="s">
        <v>46</v>
      </c>
      <c r="C1221">
        <v>36</v>
      </c>
      <c r="D1221" t="s">
        <v>17</v>
      </c>
      <c r="E1221" t="str">
        <f ca="1">IF(Table1[[#This Row],[is_smoker]]=0,"non-smoker","smoker")</f>
        <v>non-smoker</v>
      </c>
      <c r="F1221" t="s">
        <v>24</v>
      </c>
      <c r="G1221" s="2">
        <v>1.70325203252032</v>
      </c>
      <c r="H1221" s="2">
        <v>4776.0244259762903</v>
      </c>
    </row>
    <row r="1222" spans="1:8" x14ac:dyDescent="0.3">
      <c r="A1222" t="s">
        <v>1290</v>
      </c>
      <c r="B1222" t="s">
        <v>272</v>
      </c>
      <c r="C1222">
        <v>47</v>
      </c>
      <c r="D1222" t="s">
        <v>17</v>
      </c>
      <c r="E1222" t="str">
        <f ca="1">IF(Table1[[#This Row],[is_smoker]]=0,"non-smoker","smoker")</f>
        <v>non-smoker</v>
      </c>
      <c r="F1222" t="s">
        <v>48</v>
      </c>
      <c r="G1222" s="2">
        <v>0.46341463414634099</v>
      </c>
      <c r="H1222" s="2">
        <v>1201.4725891584801</v>
      </c>
    </row>
    <row r="1223" spans="1:8" x14ac:dyDescent="0.3">
      <c r="A1223" t="s">
        <v>1291</v>
      </c>
      <c r="B1223" t="s">
        <v>82</v>
      </c>
      <c r="C1223">
        <v>43</v>
      </c>
      <c r="D1223" t="s">
        <v>17</v>
      </c>
      <c r="E1223" t="str">
        <f ca="1">IF(Table1[[#This Row],[is_smoker]]=0,"non-smoker","smoker")</f>
        <v>non-smoker</v>
      </c>
      <c r="F1223" t="s">
        <v>44</v>
      </c>
      <c r="G1223" s="2">
        <v>1.1341463414634101</v>
      </c>
      <c r="H1223" s="2">
        <v>3025.4687659616102</v>
      </c>
    </row>
    <row r="1224" spans="1:8" x14ac:dyDescent="0.3">
      <c r="A1224" t="s">
        <v>1292</v>
      </c>
      <c r="B1224" t="s">
        <v>60</v>
      </c>
      <c r="C1224">
        <v>62</v>
      </c>
      <c r="D1224" t="s">
        <v>17</v>
      </c>
      <c r="E1224" t="str">
        <f ca="1">IF(Table1[[#This Row],[is_smoker]]=0,"non-smoker","smoker")</f>
        <v>non-smoker</v>
      </c>
      <c r="F1224" t="s">
        <v>56</v>
      </c>
      <c r="G1224" s="2">
        <v>0.19512195121951201</v>
      </c>
      <c r="H1224" s="2">
        <v>454.597766763415</v>
      </c>
    </row>
    <row r="1225" spans="1:8" x14ac:dyDescent="0.3">
      <c r="A1225" t="s">
        <v>1293</v>
      </c>
      <c r="B1225" t="s">
        <v>29</v>
      </c>
      <c r="C1225">
        <v>53</v>
      </c>
      <c r="D1225" t="s">
        <v>10</v>
      </c>
      <c r="E1225" t="str">
        <f ca="1">IF(Table1[[#This Row],[is_smoker]]=0,"non-smoker","smoker")</f>
        <v>non-smoker</v>
      </c>
      <c r="F1225" t="s">
        <v>27</v>
      </c>
      <c r="G1225" s="2">
        <v>0.53252032520325199</v>
      </c>
      <c r="H1225" s="2">
        <v>459.53406468215002</v>
      </c>
    </row>
    <row r="1226" spans="1:8" x14ac:dyDescent="0.3">
      <c r="A1226" t="s">
        <v>1294</v>
      </c>
      <c r="B1226" t="s">
        <v>23</v>
      </c>
      <c r="C1226">
        <v>51</v>
      </c>
      <c r="D1226" t="s">
        <v>17</v>
      </c>
      <c r="E1226" t="str">
        <f ca="1">IF(Table1[[#This Row],[is_smoker]]=0,"non-smoker","smoker")</f>
        <v>non-smoker</v>
      </c>
      <c r="F1226" t="s">
        <v>19</v>
      </c>
      <c r="G1226" s="2">
        <v>1.11788617886178</v>
      </c>
      <c r="H1226" s="2">
        <v>2816.8404905964799</v>
      </c>
    </row>
    <row r="1227" spans="1:8" x14ac:dyDescent="0.3">
      <c r="A1227" t="s">
        <v>1295</v>
      </c>
      <c r="B1227" t="s">
        <v>29</v>
      </c>
      <c r="C1227">
        <v>59</v>
      </c>
      <c r="D1227" t="s">
        <v>17</v>
      </c>
      <c r="E1227" t="str">
        <f ca="1">IF(Table1[[#This Row],[is_smoker]]=0,"non-smoker","smoker")</f>
        <v>non-smoker</v>
      </c>
      <c r="F1227" t="s">
        <v>14</v>
      </c>
      <c r="G1227" s="2">
        <v>0.66666666666666596</v>
      </c>
      <c r="H1227" s="2">
        <v>1586.77189499369</v>
      </c>
    </row>
    <row r="1228" spans="1:8" x14ac:dyDescent="0.3">
      <c r="A1228" t="s">
        <v>1296</v>
      </c>
      <c r="B1228" t="s">
        <v>13</v>
      </c>
      <c r="C1228">
        <v>47</v>
      </c>
      <c r="D1228" t="s">
        <v>17</v>
      </c>
      <c r="E1228" t="str">
        <f ca="1">IF(Table1[[#This Row],[is_smoker]]=0,"non-smoker","smoker")</f>
        <v>non-smoker</v>
      </c>
      <c r="F1228" t="s">
        <v>27</v>
      </c>
      <c r="G1228" s="2">
        <v>0.53252032520325199</v>
      </c>
      <c r="H1228" s="2">
        <v>1380.6395542084299</v>
      </c>
    </row>
    <row r="1229" spans="1:8" x14ac:dyDescent="0.3">
      <c r="A1229" t="s">
        <v>1297</v>
      </c>
      <c r="B1229" t="s">
        <v>229</v>
      </c>
      <c r="C1229">
        <v>41</v>
      </c>
      <c r="D1229" t="s">
        <v>10</v>
      </c>
      <c r="E1229" t="str">
        <f ca="1">IF(Table1[[#This Row],[is_smoker]]=0,"non-smoker","smoker")</f>
        <v>non-smoker</v>
      </c>
      <c r="F1229" t="s">
        <v>24</v>
      </c>
      <c r="G1229" s="2">
        <v>1.70325203252032</v>
      </c>
      <c r="H1229" s="2">
        <v>1601.0275386739099</v>
      </c>
    </row>
    <row r="1230" spans="1:8" x14ac:dyDescent="0.3">
      <c r="A1230" t="s">
        <v>1298</v>
      </c>
      <c r="B1230" t="s">
        <v>35</v>
      </c>
      <c r="C1230">
        <v>58</v>
      </c>
      <c r="D1230" t="s">
        <v>17</v>
      </c>
      <c r="E1230" t="str">
        <f ca="1">IF(Table1[[#This Row],[is_smoker]]=0,"non-smoker","smoker")</f>
        <v>non-smoker</v>
      </c>
      <c r="F1230" t="s">
        <v>19</v>
      </c>
      <c r="G1230" s="2">
        <v>1.11788617886178</v>
      </c>
      <c r="H1230" s="2">
        <v>2679.7742464432699</v>
      </c>
    </row>
    <row r="1231" spans="1:8" x14ac:dyDescent="0.3">
      <c r="A1231" t="s">
        <v>1299</v>
      </c>
      <c r="B1231" t="s">
        <v>60</v>
      </c>
      <c r="C1231">
        <v>49</v>
      </c>
      <c r="D1231" t="s">
        <v>17</v>
      </c>
      <c r="E1231" t="str">
        <f ca="1">IF(Table1[[#This Row],[is_smoker]]=0,"non-smoker","smoker")</f>
        <v>non-smoker</v>
      </c>
      <c r="F1231" t="s">
        <v>2004</v>
      </c>
      <c r="G1231" s="2">
        <v>1.2073170731707299</v>
      </c>
      <c r="H1231" s="2">
        <v>3085.8565802183698</v>
      </c>
    </row>
    <row r="1232" spans="1:8" x14ac:dyDescent="0.3">
      <c r="A1232" t="s">
        <v>1300</v>
      </c>
      <c r="B1232" t="s">
        <v>41</v>
      </c>
      <c r="C1232">
        <v>19</v>
      </c>
      <c r="D1232" t="s">
        <v>10</v>
      </c>
      <c r="E1232" t="str">
        <f ca="1">IF(Table1[[#This Row],[is_smoker]]=0,"non-smoker","smoker")</f>
        <v>non-smoker</v>
      </c>
      <c r="F1232" t="s">
        <v>14</v>
      </c>
      <c r="G1232" s="2">
        <v>0.66666666666666596</v>
      </c>
      <c r="H1232" s="2">
        <v>733.01966910958595</v>
      </c>
    </row>
    <row r="1233" spans="1:8" x14ac:dyDescent="0.3">
      <c r="A1233" t="s">
        <v>1301</v>
      </c>
      <c r="B1233" t="s">
        <v>16</v>
      </c>
      <c r="C1233">
        <v>57</v>
      </c>
      <c r="D1233" t="s">
        <v>10</v>
      </c>
      <c r="E1233" t="str">
        <f ca="1">IF(Table1[[#This Row],[is_smoker]]=0,"non-smoker","smoker")</f>
        <v>non-smoker</v>
      </c>
      <c r="F1233" t="s">
        <v>56</v>
      </c>
      <c r="G1233" s="2">
        <v>0.19512195121951201</v>
      </c>
      <c r="H1233" s="2">
        <v>163.64705631057501</v>
      </c>
    </row>
    <row r="1234" spans="1:8" x14ac:dyDescent="0.3">
      <c r="A1234" t="s">
        <v>1302</v>
      </c>
      <c r="B1234" t="s">
        <v>33</v>
      </c>
      <c r="C1234">
        <v>37</v>
      </c>
      <c r="D1234" t="s">
        <v>17</v>
      </c>
      <c r="E1234" t="str">
        <f ca="1">IF(Table1[[#This Row],[is_smoker]]=0,"non-smoker","smoker")</f>
        <v>non-smoker</v>
      </c>
      <c r="F1234" t="s">
        <v>11</v>
      </c>
      <c r="G1234" s="2">
        <v>1.1544715447154399</v>
      </c>
      <c r="H1234" s="2">
        <v>3214.2229125702002</v>
      </c>
    </row>
    <row r="1235" spans="1:8" x14ac:dyDescent="0.3">
      <c r="A1235" t="s">
        <v>1303</v>
      </c>
      <c r="B1235" t="s">
        <v>50</v>
      </c>
      <c r="C1235">
        <v>20</v>
      </c>
      <c r="D1235" t="s">
        <v>17</v>
      </c>
      <c r="E1235" t="str">
        <f ca="1">IF(Table1[[#This Row],[is_smoker]]=0,"non-smoker","smoker")</f>
        <v>non-smoker</v>
      </c>
      <c r="F1235" t="s">
        <v>2004</v>
      </c>
      <c r="G1235" s="2">
        <v>1.2073170731707299</v>
      </c>
      <c r="H1235" s="2">
        <v>3794.2573536443001</v>
      </c>
    </row>
    <row r="1236" spans="1:8" x14ac:dyDescent="0.3">
      <c r="A1236" t="s">
        <v>1304</v>
      </c>
      <c r="B1236" t="s">
        <v>13</v>
      </c>
      <c r="C1236">
        <v>63</v>
      </c>
      <c r="D1236" t="s">
        <v>17</v>
      </c>
      <c r="E1236" t="str">
        <f ca="1">IF(Table1[[#This Row],[is_smoker]]=0,"non-smoker","smoker")</f>
        <v>non-smoker</v>
      </c>
      <c r="F1236" t="s">
        <v>27</v>
      </c>
      <c r="G1236" s="2">
        <v>0.53252032520325199</v>
      </c>
      <c r="H1236" s="2">
        <v>1231.8632310691401</v>
      </c>
    </row>
    <row r="1237" spans="1:8" x14ac:dyDescent="0.3">
      <c r="A1237" t="s">
        <v>1305</v>
      </c>
      <c r="B1237" t="s">
        <v>50</v>
      </c>
      <c r="C1237">
        <v>23</v>
      </c>
      <c r="D1237" t="s">
        <v>17</v>
      </c>
      <c r="E1237" t="str">
        <f ca="1">IF(Table1[[#This Row],[is_smoker]]=0,"non-smoker","smoker")</f>
        <v>non-smoker</v>
      </c>
      <c r="F1237" t="s">
        <v>44</v>
      </c>
      <c r="G1237" s="2">
        <v>1.1341463414634101</v>
      </c>
      <c r="H1237" s="2">
        <v>3488.9114532052199</v>
      </c>
    </row>
    <row r="1238" spans="1:8" x14ac:dyDescent="0.3">
      <c r="A1238" t="s">
        <v>1306</v>
      </c>
      <c r="B1238" t="s">
        <v>60</v>
      </c>
      <c r="C1238">
        <v>45</v>
      </c>
      <c r="D1238" t="s">
        <v>17</v>
      </c>
      <c r="E1238" t="str">
        <f ca="1">IF(Table1[[#This Row],[is_smoker]]=0,"non-smoker","smoker")</f>
        <v>non-smoker</v>
      </c>
      <c r="F1238" t="s">
        <v>48</v>
      </c>
      <c r="G1238" s="2">
        <v>0.46341463414634099</v>
      </c>
      <c r="H1238" s="2">
        <v>1218.7190352636801</v>
      </c>
    </row>
    <row r="1239" spans="1:8" x14ac:dyDescent="0.3">
      <c r="A1239" t="s">
        <v>1307</v>
      </c>
      <c r="B1239" t="s">
        <v>29</v>
      </c>
      <c r="C1239">
        <v>44</v>
      </c>
      <c r="D1239" t="s">
        <v>10</v>
      </c>
      <c r="E1239" t="str">
        <f ca="1">IF(Table1[[#This Row],[is_smoker]]=0,"non-smoker","smoker")</f>
        <v>non-smoker</v>
      </c>
      <c r="F1239" t="s">
        <v>11</v>
      </c>
      <c r="G1239" s="2">
        <v>1.1544715447154399</v>
      </c>
      <c r="H1239" s="2">
        <v>1062.2299152442199</v>
      </c>
    </row>
    <row r="1240" spans="1:8" x14ac:dyDescent="0.3">
      <c r="A1240" t="s">
        <v>1308</v>
      </c>
      <c r="B1240" t="s">
        <v>135</v>
      </c>
      <c r="C1240">
        <v>51</v>
      </c>
      <c r="D1240" t="s">
        <v>17</v>
      </c>
      <c r="E1240" t="str">
        <f ca="1">IF(Table1[[#This Row],[is_smoker]]=0,"non-smoker","smoker")</f>
        <v>non-smoker</v>
      </c>
      <c r="F1240" t="s">
        <v>2004</v>
      </c>
      <c r="G1240" s="2">
        <v>1.2073170731707299</v>
      </c>
      <c r="H1240" s="2">
        <v>3042.1877298442</v>
      </c>
    </row>
    <row r="1241" spans="1:8" x14ac:dyDescent="0.3">
      <c r="A1241" t="s">
        <v>1309</v>
      </c>
      <c r="B1241" t="s">
        <v>43</v>
      </c>
      <c r="C1241">
        <v>58</v>
      </c>
      <c r="D1241" t="s">
        <v>17</v>
      </c>
      <c r="E1241" t="str">
        <f ca="1">IF(Table1[[#This Row],[is_smoker]]=0,"non-smoker","smoker")</f>
        <v>non-smoker</v>
      </c>
      <c r="F1241" t="s">
        <v>44</v>
      </c>
      <c r="G1241" s="2">
        <v>1.1341463414634101</v>
      </c>
      <c r="H1241" s="2">
        <v>2718.7527809369899</v>
      </c>
    </row>
    <row r="1242" spans="1:8" x14ac:dyDescent="0.3">
      <c r="A1242" t="s">
        <v>1310</v>
      </c>
      <c r="B1242" t="s">
        <v>43</v>
      </c>
      <c r="C1242">
        <v>64</v>
      </c>
      <c r="D1242" t="s">
        <v>10</v>
      </c>
      <c r="E1242" t="str">
        <f ca="1">IF(Table1[[#This Row],[is_smoker]]=0,"non-smoker","smoker")</f>
        <v>non-smoker</v>
      </c>
      <c r="F1242" t="s">
        <v>44</v>
      </c>
      <c r="G1242" s="2">
        <v>1.1341463414634101</v>
      </c>
      <c r="H1242" s="2">
        <v>904.91360506194599</v>
      </c>
    </row>
    <row r="1243" spans="1:8" x14ac:dyDescent="0.3">
      <c r="A1243" t="s">
        <v>1311</v>
      </c>
      <c r="B1243" t="s">
        <v>50</v>
      </c>
      <c r="C1243">
        <v>33</v>
      </c>
      <c r="D1243" t="s">
        <v>10</v>
      </c>
      <c r="E1243" t="str">
        <f ca="1">IF(Table1[[#This Row],[is_smoker]]=0,"non-smoker","smoker")</f>
        <v>non-smoker</v>
      </c>
      <c r="F1243" t="s">
        <v>19</v>
      </c>
      <c r="G1243" s="2">
        <v>1.11788617886178</v>
      </c>
      <c r="H1243" s="2">
        <v>1112.4394519611001</v>
      </c>
    </row>
    <row r="1244" spans="1:8" x14ac:dyDescent="0.3">
      <c r="A1244" t="s">
        <v>1312</v>
      </c>
      <c r="B1244" t="s">
        <v>13</v>
      </c>
      <c r="C1244">
        <v>56</v>
      </c>
      <c r="D1244" t="s">
        <v>10</v>
      </c>
      <c r="E1244" t="str">
        <f ca="1">IF(Table1[[#This Row],[is_smoker]]=0,"non-smoker","smoker")</f>
        <v>non-smoker</v>
      </c>
      <c r="F1244" t="s">
        <v>2004</v>
      </c>
      <c r="G1244" s="2">
        <v>1.2073170731707299</v>
      </c>
      <c r="H1244" s="2">
        <v>1019.8076682367</v>
      </c>
    </row>
    <row r="1245" spans="1:8" x14ac:dyDescent="0.3">
      <c r="A1245" t="s">
        <v>1313</v>
      </c>
      <c r="B1245" t="s">
        <v>13</v>
      </c>
      <c r="C1245">
        <v>25</v>
      </c>
      <c r="D1245" t="s">
        <v>10</v>
      </c>
      <c r="E1245" t="str">
        <f ca="1">IF(Table1[[#This Row],[is_smoker]]=0,"non-smoker","smoker")</f>
        <v>non-smoker</v>
      </c>
      <c r="F1245" t="s">
        <v>56</v>
      </c>
      <c r="G1245" s="2">
        <v>0.19512195121951201</v>
      </c>
      <c r="H1245" s="2">
        <v>205.562473788685</v>
      </c>
    </row>
    <row r="1246" spans="1:8" x14ac:dyDescent="0.3">
      <c r="A1246" t="s">
        <v>1314</v>
      </c>
      <c r="B1246" t="s">
        <v>37</v>
      </c>
      <c r="C1246">
        <v>65</v>
      </c>
      <c r="D1246" t="s">
        <v>17</v>
      </c>
      <c r="E1246" t="str">
        <f ca="1">IF(Table1[[#This Row],[is_smoker]]=0,"non-smoker","smoker")</f>
        <v>non-smoker</v>
      </c>
      <c r="F1246" t="s">
        <v>24</v>
      </c>
      <c r="G1246" s="2">
        <v>1.70325203252032</v>
      </c>
      <c r="H1246" s="2">
        <v>3884.3243956625602</v>
      </c>
    </row>
    <row r="1247" spans="1:8" x14ac:dyDescent="0.3">
      <c r="A1247" t="s">
        <v>1315</v>
      </c>
      <c r="B1247" t="s">
        <v>29</v>
      </c>
      <c r="C1247">
        <v>36</v>
      </c>
      <c r="D1247" t="s">
        <v>10</v>
      </c>
      <c r="E1247" t="str">
        <f ca="1">IF(Table1[[#This Row],[is_smoker]]=0,"non-smoker","smoker")</f>
        <v>non-smoker</v>
      </c>
      <c r="F1247" t="s">
        <v>14</v>
      </c>
      <c r="G1247" s="2">
        <v>0.66666666666666596</v>
      </c>
      <c r="H1247" s="2">
        <v>649.38603603955198</v>
      </c>
    </row>
    <row r="1248" spans="1:8" x14ac:dyDescent="0.3">
      <c r="A1248" t="s">
        <v>1316</v>
      </c>
      <c r="B1248" t="s">
        <v>192</v>
      </c>
      <c r="C1248">
        <v>27</v>
      </c>
      <c r="D1248" t="s">
        <v>17</v>
      </c>
      <c r="E1248" t="str">
        <f ca="1">IF(Table1[[#This Row],[is_smoker]]=0,"non-smoker","smoker")</f>
        <v>non-smoker</v>
      </c>
      <c r="F1248" t="s">
        <v>14</v>
      </c>
      <c r="G1248" s="2">
        <v>0.66666666666666596</v>
      </c>
      <c r="H1248" s="2">
        <v>1993.1965989918299</v>
      </c>
    </row>
    <row r="1249" spans="1:8" x14ac:dyDescent="0.3">
      <c r="A1249" t="s">
        <v>1317</v>
      </c>
      <c r="B1249" t="s">
        <v>43</v>
      </c>
      <c r="C1249">
        <v>23</v>
      </c>
      <c r="D1249" t="s">
        <v>17</v>
      </c>
      <c r="E1249" t="str">
        <f ca="1">IF(Table1[[#This Row],[is_smoker]]=0,"non-smoker","smoker")</f>
        <v>smoker</v>
      </c>
      <c r="F1249" t="s">
        <v>27</v>
      </c>
      <c r="G1249" s="2">
        <v>0.53252032520325199</v>
      </c>
      <c r="H1249" s="2">
        <v>1759.2382208734</v>
      </c>
    </row>
    <row r="1250" spans="1:8" x14ac:dyDescent="0.3">
      <c r="A1250" t="s">
        <v>1318</v>
      </c>
      <c r="B1250" t="s">
        <v>21</v>
      </c>
      <c r="C1250">
        <v>22</v>
      </c>
      <c r="D1250" t="s">
        <v>17</v>
      </c>
      <c r="E1250" t="str">
        <f ca="1">IF(Table1[[#This Row],[is_smoker]]=0,"non-smoker","smoker")</f>
        <v>non-smoker</v>
      </c>
      <c r="F1250" t="s">
        <v>27</v>
      </c>
      <c r="G1250" s="2">
        <v>0.53252032520325199</v>
      </c>
      <c r="H1250" s="2">
        <v>1649.8782732386401</v>
      </c>
    </row>
    <row r="1251" spans="1:8" x14ac:dyDescent="0.3">
      <c r="A1251" t="s">
        <v>1319</v>
      </c>
      <c r="B1251" t="s">
        <v>50</v>
      </c>
      <c r="C1251">
        <v>53</v>
      </c>
      <c r="D1251" t="s">
        <v>17</v>
      </c>
      <c r="E1251" t="str">
        <f ca="1">IF(Table1[[#This Row],[is_smoker]]=0,"non-smoker","smoker")</f>
        <v>non-smoker</v>
      </c>
      <c r="F1251" t="s">
        <v>14</v>
      </c>
      <c r="G1251" s="2">
        <v>0.66666666666666596</v>
      </c>
      <c r="H1251" s="2">
        <v>1656.08903502877</v>
      </c>
    </row>
    <row r="1252" spans="1:8" x14ac:dyDescent="0.3">
      <c r="A1252" t="s">
        <v>1320</v>
      </c>
      <c r="B1252" t="s">
        <v>13</v>
      </c>
      <c r="C1252">
        <v>39</v>
      </c>
      <c r="D1252" t="s">
        <v>17</v>
      </c>
      <c r="E1252" t="str">
        <f ca="1">IF(Table1[[#This Row],[is_smoker]]=0,"non-smoker","smoker")</f>
        <v>non-smoker</v>
      </c>
      <c r="F1252" t="s">
        <v>56</v>
      </c>
      <c r="G1252" s="2">
        <v>0.19512195121951201</v>
      </c>
      <c r="H1252" s="2">
        <v>535.56126980989802</v>
      </c>
    </row>
    <row r="1253" spans="1:8" x14ac:dyDescent="0.3">
      <c r="A1253" t="s">
        <v>1321</v>
      </c>
      <c r="B1253" t="s">
        <v>29</v>
      </c>
      <c r="C1253">
        <v>51</v>
      </c>
      <c r="D1253" t="s">
        <v>17</v>
      </c>
      <c r="E1253" t="str">
        <f ca="1">IF(Table1[[#This Row],[is_smoker]]=0,"non-smoker","smoker")</f>
        <v>non-smoker</v>
      </c>
      <c r="F1253" t="s">
        <v>48</v>
      </c>
      <c r="G1253" s="2">
        <v>0.46341463414634099</v>
      </c>
      <c r="H1253" s="2">
        <v>1167.70842155636</v>
      </c>
    </row>
    <row r="1254" spans="1:8" x14ac:dyDescent="0.3">
      <c r="A1254" t="s">
        <v>1322</v>
      </c>
      <c r="B1254" t="s">
        <v>53</v>
      </c>
      <c r="C1254">
        <v>29</v>
      </c>
      <c r="D1254" t="s">
        <v>17</v>
      </c>
      <c r="E1254" t="str">
        <f ca="1">IF(Table1[[#This Row],[is_smoker]]=0,"non-smoker","smoker")</f>
        <v>non-smoker</v>
      </c>
      <c r="F1254" t="s">
        <v>61</v>
      </c>
      <c r="G1254" s="2">
        <v>1.61788617886178</v>
      </c>
      <c r="H1254" s="2">
        <v>4768.69596353624</v>
      </c>
    </row>
    <row r="1255" spans="1:8" x14ac:dyDescent="0.3">
      <c r="A1255" t="s">
        <v>1323</v>
      </c>
      <c r="B1255" t="s">
        <v>29</v>
      </c>
      <c r="C1255">
        <v>26</v>
      </c>
      <c r="D1255" t="s">
        <v>17</v>
      </c>
      <c r="E1255" t="str">
        <f ca="1">IF(Table1[[#This Row],[is_smoker]]=0,"non-smoker","smoker")</f>
        <v>non-smoker</v>
      </c>
      <c r="F1255" t="s">
        <v>24</v>
      </c>
      <c r="G1255" s="2">
        <v>1.70325203252032</v>
      </c>
      <c r="H1255" s="2">
        <v>5128.7930582016197</v>
      </c>
    </row>
    <row r="1256" spans="1:8" x14ac:dyDescent="0.3">
      <c r="A1256" t="s">
        <v>1324</v>
      </c>
      <c r="B1256" t="s">
        <v>13</v>
      </c>
      <c r="C1256">
        <v>21</v>
      </c>
      <c r="D1256" t="s">
        <v>17</v>
      </c>
      <c r="E1256" t="str">
        <f ca="1">IF(Table1[[#This Row],[is_smoker]]=0,"non-smoker","smoker")</f>
        <v>non-smoker</v>
      </c>
      <c r="F1256" t="s">
        <v>48</v>
      </c>
      <c r="G1256" s="2">
        <v>0.46341463414634099</v>
      </c>
      <c r="H1256" s="2">
        <v>1446.04005451373</v>
      </c>
    </row>
    <row r="1257" spans="1:8" x14ac:dyDescent="0.3">
      <c r="A1257" t="s">
        <v>1325</v>
      </c>
      <c r="B1257" t="s">
        <v>65</v>
      </c>
      <c r="C1257">
        <v>60</v>
      </c>
      <c r="D1257" t="s">
        <v>10</v>
      </c>
      <c r="E1257" t="str">
        <f ca="1">IF(Table1[[#This Row],[is_smoker]]=0,"non-smoker","smoker")</f>
        <v>non-smoker</v>
      </c>
      <c r="F1257" t="s">
        <v>19</v>
      </c>
      <c r="G1257" s="2">
        <v>1.11788617886178</v>
      </c>
      <c r="H1257" s="2">
        <v>917.73028374089404</v>
      </c>
    </row>
    <row r="1258" spans="1:8" x14ac:dyDescent="0.3">
      <c r="A1258" t="s">
        <v>1326</v>
      </c>
      <c r="B1258" t="s">
        <v>41</v>
      </c>
      <c r="C1258">
        <v>50</v>
      </c>
      <c r="D1258" t="s">
        <v>17</v>
      </c>
      <c r="E1258" t="str">
        <f ca="1">IF(Table1[[#This Row],[is_smoker]]=0,"non-smoker","smoker")</f>
        <v>non-smoker</v>
      </c>
      <c r="F1258" t="s">
        <v>61</v>
      </c>
      <c r="G1258" s="2">
        <v>1.61788617886178</v>
      </c>
      <c r="H1258" s="2">
        <v>4105.8917649507803</v>
      </c>
    </row>
    <row r="1259" spans="1:8" x14ac:dyDescent="0.3">
      <c r="A1259" t="s">
        <v>1327</v>
      </c>
      <c r="B1259" t="s">
        <v>50</v>
      </c>
      <c r="C1259">
        <v>20</v>
      </c>
      <c r="D1259" t="s">
        <v>10</v>
      </c>
      <c r="E1259" t="str">
        <f ca="1">IF(Table1[[#This Row],[is_smoker]]=0,"non-smoker","smoker")</f>
        <v>non-smoker</v>
      </c>
      <c r="F1259" t="s">
        <v>61</v>
      </c>
      <c r="G1259" s="2">
        <v>1.61788617886178</v>
      </c>
      <c r="H1259" s="2">
        <v>1766.2817781579699</v>
      </c>
    </row>
    <row r="1260" spans="1:8" x14ac:dyDescent="0.3">
      <c r="A1260" t="s">
        <v>1328</v>
      </c>
      <c r="B1260" t="s">
        <v>88</v>
      </c>
      <c r="C1260">
        <v>60</v>
      </c>
      <c r="D1260" t="s">
        <v>17</v>
      </c>
      <c r="E1260" t="str">
        <f ca="1">IF(Table1[[#This Row],[is_smoker]]=0,"non-smoker","smoker")</f>
        <v>non-smoker</v>
      </c>
      <c r="F1260" t="s">
        <v>2004</v>
      </c>
      <c r="G1260" s="2">
        <v>1.2073170731707299</v>
      </c>
      <c r="H1260" s="2">
        <v>2853.2001435924499</v>
      </c>
    </row>
    <row r="1261" spans="1:8" x14ac:dyDescent="0.3">
      <c r="A1261" t="s">
        <v>1329</v>
      </c>
      <c r="B1261" t="s">
        <v>135</v>
      </c>
      <c r="C1261">
        <v>35</v>
      </c>
      <c r="D1261" t="s">
        <v>10</v>
      </c>
      <c r="E1261" t="str">
        <f ca="1">IF(Table1[[#This Row],[is_smoker]]=0,"non-smoker","smoker")</f>
        <v>non-smoker</v>
      </c>
      <c r="F1261" t="s">
        <v>56</v>
      </c>
      <c r="G1261" s="2">
        <v>0.19512195121951201</v>
      </c>
      <c r="H1261" s="2">
        <v>191.423476193661</v>
      </c>
    </row>
    <row r="1262" spans="1:8" x14ac:dyDescent="0.3">
      <c r="A1262" t="s">
        <v>1330</v>
      </c>
      <c r="B1262" t="s">
        <v>16</v>
      </c>
      <c r="C1262">
        <v>34</v>
      </c>
      <c r="D1262" t="s">
        <v>17</v>
      </c>
      <c r="E1262" t="str">
        <f ca="1">IF(Table1[[#This Row],[is_smoker]]=0,"non-smoker","smoker")</f>
        <v>non-smoker</v>
      </c>
      <c r="F1262" t="s">
        <v>56</v>
      </c>
      <c r="G1262" s="2">
        <v>0.19512195121951201</v>
      </c>
      <c r="H1262" s="2">
        <v>554.98785705241698</v>
      </c>
    </row>
    <row r="1263" spans="1:8" x14ac:dyDescent="0.3">
      <c r="A1263" t="s">
        <v>1331</v>
      </c>
      <c r="B1263" t="s">
        <v>13</v>
      </c>
      <c r="C1263">
        <v>42</v>
      </c>
      <c r="D1263" t="s">
        <v>17</v>
      </c>
      <c r="E1263" t="str">
        <f ca="1">IF(Table1[[#This Row],[is_smoker]]=0,"non-smoker","smoker")</f>
        <v>non-smoker</v>
      </c>
      <c r="F1263" t="s">
        <v>61</v>
      </c>
      <c r="G1263" s="2">
        <v>1.61788617886178</v>
      </c>
      <c r="H1263" s="2">
        <v>4346.7674498409397</v>
      </c>
    </row>
    <row r="1264" spans="1:8" x14ac:dyDescent="0.3">
      <c r="A1264" t="s">
        <v>1332</v>
      </c>
      <c r="B1264" t="s">
        <v>35</v>
      </c>
      <c r="C1264">
        <v>50</v>
      </c>
      <c r="D1264" t="s">
        <v>10</v>
      </c>
      <c r="E1264" t="str">
        <f ca="1">IF(Table1[[#This Row],[is_smoker]]=0,"non-smoker","smoker")</f>
        <v>non-smoker</v>
      </c>
      <c r="F1264" t="s">
        <v>2004</v>
      </c>
      <c r="G1264" s="2">
        <v>1.2073170731707299</v>
      </c>
      <c r="H1264" s="2">
        <v>1064.3573298301701</v>
      </c>
    </row>
    <row r="1265" spans="1:8" x14ac:dyDescent="0.3">
      <c r="A1265" t="s">
        <v>1333</v>
      </c>
      <c r="B1265" t="s">
        <v>50</v>
      </c>
      <c r="C1265">
        <v>53</v>
      </c>
      <c r="D1265" t="s">
        <v>10</v>
      </c>
      <c r="E1265" t="str">
        <f ca="1">IF(Table1[[#This Row],[is_smoker]]=0,"non-smoker","smoker")</f>
        <v>non-smoker</v>
      </c>
      <c r="F1265" t="s">
        <v>24</v>
      </c>
      <c r="G1265" s="2">
        <v>1.70325203252032</v>
      </c>
      <c r="H1265" s="2">
        <v>1469.8074282581699</v>
      </c>
    </row>
    <row r="1266" spans="1:8" x14ac:dyDescent="0.3">
      <c r="A1266" t="s">
        <v>1334</v>
      </c>
      <c r="B1266" t="s">
        <v>13</v>
      </c>
      <c r="C1266">
        <v>46</v>
      </c>
      <c r="D1266" t="s">
        <v>10</v>
      </c>
      <c r="E1266" t="str">
        <f ca="1">IF(Table1[[#This Row],[is_smoker]]=0,"non-smoker","smoker")</f>
        <v>non-smoker</v>
      </c>
      <c r="F1266" t="s">
        <v>61</v>
      </c>
      <c r="G1266" s="2">
        <v>1.61788617886178</v>
      </c>
      <c r="H1266" s="2">
        <v>1467.55211556054</v>
      </c>
    </row>
    <row r="1267" spans="1:8" x14ac:dyDescent="0.3">
      <c r="A1267" t="s">
        <v>1335</v>
      </c>
      <c r="B1267" t="s">
        <v>13</v>
      </c>
      <c r="C1267">
        <v>59</v>
      </c>
      <c r="D1267" t="s">
        <v>10</v>
      </c>
      <c r="E1267" t="str">
        <f ca="1">IF(Table1[[#This Row],[is_smoker]]=0,"non-smoker","smoker")</f>
        <v>non-smoker</v>
      </c>
      <c r="F1267" t="s">
        <v>11</v>
      </c>
      <c r="G1267" s="2">
        <v>1.1544715447154399</v>
      </c>
      <c r="H1267" s="2">
        <v>954.54316651879606</v>
      </c>
    </row>
    <row r="1268" spans="1:8" x14ac:dyDescent="0.3">
      <c r="A1268" t="s">
        <v>1336</v>
      </c>
      <c r="B1268" t="s">
        <v>50</v>
      </c>
      <c r="C1268">
        <v>57</v>
      </c>
      <c r="D1268" t="s">
        <v>10</v>
      </c>
      <c r="E1268" t="str">
        <f ca="1">IF(Table1[[#This Row],[is_smoker]]=0,"non-smoker","smoker")</f>
        <v>non-smoker</v>
      </c>
      <c r="F1268" t="s">
        <v>27</v>
      </c>
      <c r="G1268" s="2">
        <v>0.53252032520325199</v>
      </c>
      <c r="H1268" s="2">
        <v>446.62009118094602</v>
      </c>
    </row>
    <row r="1269" spans="1:8" x14ac:dyDescent="0.3">
      <c r="A1269" t="s">
        <v>1337</v>
      </c>
      <c r="B1269" t="s">
        <v>192</v>
      </c>
      <c r="C1269">
        <v>65</v>
      </c>
      <c r="D1269" t="s">
        <v>17</v>
      </c>
      <c r="E1269" t="str">
        <f ca="1">IF(Table1[[#This Row],[is_smoker]]=0,"non-smoker","smoker")</f>
        <v>non-smoker</v>
      </c>
      <c r="F1269" t="s">
        <v>27</v>
      </c>
      <c r="G1269" s="2">
        <v>0.53252032520325199</v>
      </c>
      <c r="H1269" s="2">
        <v>1214.4307776415101</v>
      </c>
    </row>
    <row r="1270" spans="1:8" x14ac:dyDescent="0.3">
      <c r="A1270" t="s">
        <v>1338</v>
      </c>
      <c r="B1270" t="s">
        <v>13</v>
      </c>
      <c r="C1270">
        <v>58</v>
      </c>
      <c r="D1270" t="s">
        <v>17</v>
      </c>
      <c r="E1270" t="str">
        <f ca="1">IF(Table1[[#This Row],[is_smoker]]=0,"non-smoker","smoker")</f>
        <v>non-smoker</v>
      </c>
      <c r="F1270" t="s">
        <v>48</v>
      </c>
      <c r="G1270" s="2">
        <v>0.46341463414634099</v>
      </c>
      <c r="H1270" s="2">
        <v>1110.8882330710201</v>
      </c>
    </row>
    <row r="1271" spans="1:8" x14ac:dyDescent="0.3">
      <c r="A1271" t="s">
        <v>1339</v>
      </c>
      <c r="B1271" t="s">
        <v>13</v>
      </c>
      <c r="C1271">
        <v>34</v>
      </c>
      <c r="D1271" t="s">
        <v>17</v>
      </c>
      <c r="E1271" t="str">
        <f ca="1">IF(Table1[[#This Row],[is_smoker]]=0,"non-smoker","smoker")</f>
        <v>non-smoker</v>
      </c>
      <c r="F1271" t="s">
        <v>19</v>
      </c>
      <c r="G1271" s="2">
        <v>1.11788617886178</v>
      </c>
      <c r="H1271" s="2">
        <v>3179.6179310294701</v>
      </c>
    </row>
    <row r="1272" spans="1:8" x14ac:dyDescent="0.3">
      <c r="A1272" t="s">
        <v>1340</v>
      </c>
      <c r="B1272" t="s">
        <v>16</v>
      </c>
      <c r="C1272">
        <v>32</v>
      </c>
      <c r="D1272" t="s">
        <v>10</v>
      </c>
      <c r="E1272" t="str">
        <f ca="1">IF(Table1[[#This Row],[is_smoker]]=0,"non-smoker","smoker")</f>
        <v>non-smoker</v>
      </c>
      <c r="F1272" t="s">
        <v>27</v>
      </c>
      <c r="G1272" s="2">
        <v>0.53252032520325199</v>
      </c>
      <c r="H1272" s="2">
        <v>533.71553971867399</v>
      </c>
    </row>
    <row r="1273" spans="1:8" x14ac:dyDescent="0.3">
      <c r="A1273" t="s">
        <v>1341</v>
      </c>
      <c r="B1273" t="s">
        <v>50</v>
      </c>
      <c r="C1273">
        <v>27</v>
      </c>
      <c r="D1273" t="s">
        <v>17</v>
      </c>
      <c r="E1273" t="str">
        <f ca="1">IF(Table1[[#This Row],[is_smoker]]=0,"non-smoker","smoker")</f>
        <v>non-smoker</v>
      </c>
      <c r="F1273" t="s">
        <v>44</v>
      </c>
      <c r="G1273" s="2">
        <v>1.1341463414634101</v>
      </c>
      <c r="H1273" s="2">
        <v>3390.8649458458499</v>
      </c>
    </row>
    <row r="1274" spans="1:8" x14ac:dyDescent="0.3">
      <c r="A1274" t="s">
        <v>1342</v>
      </c>
      <c r="B1274" t="s">
        <v>13</v>
      </c>
      <c r="C1274">
        <v>23</v>
      </c>
      <c r="D1274" t="s">
        <v>17</v>
      </c>
      <c r="E1274" t="str">
        <f ca="1">IF(Table1[[#This Row],[is_smoker]]=0,"non-smoker","smoker")</f>
        <v>non-smoker</v>
      </c>
      <c r="F1274" t="s">
        <v>48</v>
      </c>
      <c r="G1274" s="2">
        <v>0.46341463414634099</v>
      </c>
      <c r="H1274" s="2">
        <v>1425.5767228150301</v>
      </c>
    </row>
    <row r="1275" spans="1:8" x14ac:dyDescent="0.3">
      <c r="A1275" t="s">
        <v>1343</v>
      </c>
      <c r="B1275" t="s">
        <v>46</v>
      </c>
      <c r="C1275">
        <v>57</v>
      </c>
      <c r="D1275" t="s">
        <v>10</v>
      </c>
      <c r="E1275" t="str">
        <f ca="1">IF(Table1[[#This Row],[is_smoker]]=0,"non-smoker","smoker")</f>
        <v>non-smoker</v>
      </c>
      <c r="F1275" t="s">
        <v>27</v>
      </c>
      <c r="G1275" s="2">
        <v>0.53252032520325199</v>
      </c>
      <c r="H1275" s="2">
        <v>446.62009118094602</v>
      </c>
    </row>
    <row r="1276" spans="1:8" x14ac:dyDescent="0.3">
      <c r="A1276" t="s">
        <v>1344</v>
      </c>
      <c r="B1276" t="s">
        <v>16</v>
      </c>
      <c r="C1276">
        <v>38</v>
      </c>
      <c r="D1276" t="s">
        <v>17</v>
      </c>
      <c r="E1276" t="str">
        <f ca="1">IF(Table1[[#This Row],[is_smoker]]=0,"non-smoker","smoker")</f>
        <v>non-smoker</v>
      </c>
      <c r="F1276" t="s">
        <v>19</v>
      </c>
      <c r="G1276" s="2">
        <v>1.11788617886178</v>
      </c>
      <c r="H1276" s="2">
        <v>3090.2632893149998</v>
      </c>
    </row>
    <row r="1277" spans="1:8" x14ac:dyDescent="0.3">
      <c r="A1277" t="s">
        <v>1345</v>
      </c>
      <c r="B1277" t="s">
        <v>29</v>
      </c>
      <c r="C1277">
        <v>39</v>
      </c>
      <c r="D1277" t="s">
        <v>10</v>
      </c>
      <c r="E1277" t="str">
        <f ca="1">IF(Table1[[#This Row],[is_smoker]]=0,"non-smoker","smoker")</f>
        <v>non-smoker</v>
      </c>
      <c r="F1277" t="s">
        <v>56</v>
      </c>
      <c r="G1277" s="2">
        <v>0.19512195121951201</v>
      </c>
      <c r="H1277" s="2">
        <v>186.04403234158599</v>
      </c>
    </row>
    <row r="1278" spans="1:8" x14ac:dyDescent="0.3">
      <c r="A1278" t="s">
        <v>1346</v>
      </c>
      <c r="B1278" t="s">
        <v>29</v>
      </c>
      <c r="C1278">
        <v>21</v>
      </c>
      <c r="D1278" t="s">
        <v>17</v>
      </c>
      <c r="E1278" t="str">
        <f ca="1">IF(Table1[[#This Row],[is_smoker]]=0,"non-smoker","smoker")</f>
        <v>non-smoker</v>
      </c>
      <c r="F1278" t="s">
        <v>56</v>
      </c>
      <c r="G1278" s="2">
        <v>0.19512195121951201</v>
      </c>
      <c r="H1278" s="2">
        <v>608.85897032157402</v>
      </c>
    </row>
    <row r="1279" spans="1:8" x14ac:dyDescent="0.3">
      <c r="A1279" t="s">
        <v>1347</v>
      </c>
      <c r="B1279" t="s">
        <v>166</v>
      </c>
      <c r="C1279">
        <v>55</v>
      </c>
      <c r="D1279" t="s">
        <v>17</v>
      </c>
      <c r="E1279" t="str">
        <f ca="1">IF(Table1[[#This Row],[is_smoker]]=0,"non-smoker","smoker")</f>
        <v>non-smoker</v>
      </c>
      <c r="F1279" t="s">
        <v>24</v>
      </c>
      <c r="G1279" s="2">
        <v>1.70325203252032</v>
      </c>
      <c r="H1279" s="2">
        <v>4171.2299225113402</v>
      </c>
    </row>
    <row r="1280" spans="1:8" x14ac:dyDescent="0.3">
      <c r="A1280" t="s">
        <v>1348</v>
      </c>
      <c r="B1280" t="s">
        <v>16</v>
      </c>
      <c r="C1280">
        <v>45</v>
      </c>
      <c r="D1280" t="s">
        <v>10</v>
      </c>
      <c r="E1280" t="str">
        <f ca="1">IF(Table1[[#This Row],[is_smoker]]=0,"non-smoker","smoker")</f>
        <v>non-smoker</v>
      </c>
      <c r="F1280" t="s">
        <v>61</v>
      </c>
      <c r="G1280" s="2">
        <v>1.61788617886178</v>
      </c>
      <c r="H1280" s="2">
        <v>1478.0475180242399</v>
      </c>
    </row>
    <row r="1281" spans="1:8" x14ac:dyDescent="0.3">
      <c r="A1281" t="s">
        <v>1349</v>
      </c>
      <c r="B1281" t="s">
        <v>85</v>
      </c>
      <c r="C1281">
        <v>58</v>
      </c>
      <c r="D1281" t="s">
        <v>17</v>
      </c>
      <c r="E1281" t="str">
        <f ca="1">IF(Table1[[#This Row],[is_smoker]]=0,"non-smoker","smoker")</f>
        <v>non-smoker</v>
      </c>
      <c r="F1281" t="s">
        <v>11</v>
      </c>
      <c r="G1281" s="2">
        <v>1.1544715447154399</v>
      </c>
      <c r="H1281" s="2">
        <v>2767.4759490541401</v>
      </c>
    </row>
    <row r="1282" spans="1:8" x14ac:dyDescent="0.3">
      <c r="A1282" t="s">
        <v>1350</v>
      </c>
      <c r="B1282" t="s">
        <v>29</v>
      </c>
      <c r="C1282">
        <v>65</v>
      </c>
      <c r="D1282" t="s">
        <v>17</v>
      </c>
      <c r="E1282" t="str">
        <f ca="1">IF(Table1[[#This Row],[is_smoker]]=0,"non-smoker","smoker")</f>
        <v>non-smoker</v>
      </c>
      <c r="F1282" t="s">
        <v>56</v>
      </c>
      <c r="G1282" s="2">
        <v>0.19512195121951201</v>
      </c>
      <c r="H1282" s="2">
        <v>444.98226967017399</v>
      </c>
    </row>
    <row r="1283" spans="1:8" x14ac:dyDescent="0.3">
      <c r="A1283" t="s">
        <v>1351</v>
      </c>
      <c r="B1283" t="s">
        <v>43</v>
      </c>
      <c r="C1283">
        <v>24</v>
      </c>
      <c r="D1283" t="s">
        <v>17</v>
      </c>
      <c r="E1283" t="str">
        <f ca="1">IF(Table1[[#This Row],[is_smoker]]=0,"non-smoker","smoker")</f>
        <v>non-smoker</v>
      </c>
      <c r="F1283" t="s">
        <v>2004</v>
      </c>
      <c r="G1283" s="2">
        <v>1.2073170731707299</v>
      </c>
      <c r="H1283" s="2">
        <v>3687.6299179707298</v>
      </c>
    </row>
    <row r="1284" spans="1:8" x14ac:dyDescent="0.3">
      <c r="A1284" t="s">
        <v>1352</v>
      </c>
      <c r="B1284" t="s">
        <v>13</v>
      </c>
      <c r="C1284">
        <v>26</v>
      </c>
      <c r="D1284" t="s">
        <v>17</v>
      </c>
      <c r="E1284" t="str">
        <f ca="1">IF(Table1[[#This Row],[is_smoker]]=0,"non-smoker","smoker")</f>
        <v>non-smoker</v>
      </c>
      <c r="F1284" t="s">
        <v>27</v>
      </c>
      <c r="G1284" s="2">
        <v>0.53252032520325199</v>
      </c>
      <c r="H1284" s="2">
        <v>1603.5128654520599</v>
      </c>
    </row>
    <row r="1285" spans="1:8" x14ac:dyDescent="0.3">
      <c r="A1285" t="s">
        <v>1353</v>
      </c>
      <c r="B1285" t="s">
        <v>46</v>
      </c>
      <c r="C1285">
        <v>62</v>
      </c>
      <c r="D1285" t="s">
        <v>17</v>
      </c>
      <c r="E1285" t="str">
        <f ca="1">IF(Table1[[#This Row],[is_smoker]]=0,"non-smoker","smoker")</f>
        <v>non-smoker</v>
      </c>
      <c r="F1285" t="s">
        <v>2004</v>
      </c>
      <c r="G1285" s="2">
        <v>1.2073170731707299</v>
      </c>
      <c r="H1285" s="2">
        <v>2812.8236818486298</v>
      </c>
    </row>
    <row r="1286" spans="1:8" x14ac:dyDescent="0.3">
      <c r="A1286" t="s">
        <v>1354</v>
      </c>
      <c r="B1286" t="s">
        <v>113</v>
      </c>
      <c r="C1286">
        <v>51</v>
      </c>
      <c r="D1286" t="s">
        <v>10</v>
      </c>
      <c r="E1286" t="str">
        <f ca="1">IF(Table1[[#This Row],[is_smoker]]=0,"non-smoker","smoker")</f>
        <v>non-smoker</v>
      </c>
      <c r="F1286" t="s">
        <v>19</v>
      </c>
      <c r="G1286" s="2">
        <v>1.11788617886178</v>
      </c>
      <c r="H1286" s="2">
        <v>978.51803869170703</v>
      </c>
    </row>
    <row r="1287" spans="1:8" x14ac:dyDescent="0.3">
      <c r="A1287" t="s">
        <v>1355</v>
      </c>
      <c r="B1287" t="s">
        <v>60</v>
      </c>
      <c r="C1287">
        <v>54</v>
      </c>
      <c r="D1287" t="s">
        <v>17</v>
      </c>
      <c r="E1287" t="str">
        <f ca="1">IF(Table1[[#This Row],[is_smoker]]=0,"non-smoker","smoker")</f>
        <v>non-smoker</v>
      </c>
      <c r="F1287" t="s">
        <v>56</v>
      </c>
      <c r="G1287" s="2">
        <v>0.19512195121951201</v>
      </c>
      <c r="H1287" s="2">
        <v>481.26713719188501</v>
      </c>
    </row>
    <row r="1288" spans="1:8" x14ac:dyDescent="0.3">
      <c r="A1288" t="s">
        <v>1356</v>
      </c>
      <c r="B1288" t="s">
        <v>29</v>
      </c>
      <c r="C1288">
        <v>26</v>
      </c>
      <c r="D1288" t="s">
        <v>10</v>
      </c>
      <c r="E1288" t="str">
        <f ca="1">IF(Table1[[#This Row],[is_smoker]]=0,"non-smoker","smoker")</f>
        <v>non-smoker</v>
      </c>
      <c r="F1288" t="s">
        <v>11</v>
      </c>
      <c r="G1288" s="2">
        <v>1.1544715447154399</v>
      </c>
      <c r="H1288" s="2">
        <v>1207.6082586590701</v>
      </c>
    </row>
    <row r="1289" spans="1:8" x14ac:dyDescent="0.3">
      <c r="A1289" t="s">
        <v>1357</v>
      </c>
      <c r="B1289" t="s">
        <v>245</v>
      </c>
      <c r="C1289">
        <v>26</v>
      </c>
      <c r="D1289" t="s">
        <v>17</v>
      </c>
      <c r="E1289" t="str">
        <f ca="1">IF(Table1[[#This Row],[is_smoker]]=0,"non-smoker","smoker")</f>
        <v>smoker</v>
      </c>
      <c r="F1289" t="s">
        <v>19</v>
      </c>
      <c r="G1289" s="2">
        <v>1.11788617886178</v>
      </c>
      <c r="H1289" s="2">
        <v>3614.9430432941899</v>
      </c>
    </row>
    <row r="1290" spans="1:8" x14ac:dyDescent="0.3">
      <c r="A1290" t="s">
        <v>1358</v>
      </c>
      <c r="B1290" t="s">
        <v>229</v>
      </c>
      <c r="C1290">
        <v>44</v>
      </c>
      <c r="D1290" t="s">
        <v>10</v>
      </c>
      <c r="E1290" t="str">
        <f ca="1">IF(Table1[[#This Row],[is_smoker]]=0,"non-smoker","smoker")</f>
        <v>non-smoker</v>
      </c>
      <c r="F1290" t="s">
        <v>44</v>
      </c>
      <c r="G1290" s="2">
        <v>1.1341463414634101</v>
      </c>
      <c r="H1290" s="2">
        <v>1043.5286843420299</v>
      </c>
    </row>
    <row r="1291" spans="1:8" x14ac:dyDescent="0.3">
      <c r="A1291" t="s">
        <v>1359</v>
      </c>
      <c r="B1291" t="s">
        <v>29</v>
      </c>
      <c r="C1291">
        <v>39</v>
      </c>
      <c r="D1291" t="s">
        <v>17</v>
      </c>
      <c r="E1291" t="str">
        <f ca="1">IF(Table1[[#This Row],[is_smoker]]=0,"non-smoker","smoker")</f>
        <v>non-smoker</v>
      </c>
      <c r="F1291" t="s">
        <v>44</v>
      </c>
      <c r="G1291" s="2">
        <v>1.1341463414634101</v>
      </c>
      <c r="H1291" s="2">
        <v>3112.9498807700302</v>
      </c>
    </row>
    <row r="1292" spans="1:8" x14ac:dyDescent="0.3">
      <c r="A1292" t="s">
        <v>1360</v>
      </c>
      <c r="B1292" t="s">
        <v>192</v>
      </c>
      <c r="C1292">
        <v>45</v>
      </c>
      <c r="D1292" t="s">
        <v>17</v>
      </c>
      <c r="E1292" t="str">
        <f ca="1">IF(Table1[[#This Row],[is_smoker]]=0,"non-smoker","smoker")</f>
        <v>non-smoker</v>
      </c>
      <c r="F1292" t="s">
        <v>2004</v>
      </c>
      <c r="G1292" s="2">
        <v>1.2073170731707299</v>
      </c>
      <c r="H1292" s="2">
        <v>3175.0838023974802</v>
      </c>
    </row>
    <row r="1293" spans="1:8" x14ac:dyDescent="0.3">
      <c r="A1293" t="s">
        <v>1361</v>
      </c>
      <c r="B1293" t="s">
        <v>46</v>
      </c>
      <c r="C1293">
        <v>52</v>
      </c>
      <c r="D1293" t="s">
        <v>17</v>
      </c>
      <c r="E1293" t="str">
        <f ca="1">IF(Table1[[#This Row],[is_smoker]]=0,"non-smoker","smoker")</f>
        <v>non-smoker</v>
      </c>
      <c r="F1293" t="s">
        <v>61</v>
      </c>
      <c r="G1293" s="2">
        <v>1.61788617886178</v>
      </c>
      <c r="H1293" s="2">
        <v>4047.7881011948002</v>
      </c>
    </row>
    <row r="1294" spans="1:8" x14ac:dyDescent="0.3">
      <c r="A1294" t="s">
        <v>1362</v>
      </c>
      <c r="B1294" t="s">
        <v>175</v>
      </c>
      <c r="C1294">
        <v>62</v>
      </c>
      <c r="D1294" t="s">
        <v>10</v>
      </c>
      <c r="E1294" t="str">
        <f ca="1">IF(Table1[[#This Row],[is_smoker]]=0,"non-smoker","smoker")</f>
        <v>non-smoker</v>
      </c>
      <c r="F1294" t="s">
        <v>48</v>
      </c>
      <c r="G1294" s="2">
        <v>0.46341463414634099</v>
      </c>
      <c r="H1294" s="2">
        <v>375.05718799250502</v>
      </c>
    </row>
    <row r="1295" spans="1:8" x14ac:dyDescent="0.3">
      <c r="A1295" t="s">
        <v>1363</v>
      </c>
      <c r="B1295" t="s">
        <v>13</v>
      </c>
      <c r="C1295">
        <v>65</v>
      </c>
      <c r="D1295" t="s">
        <v>10</v>
      </c>
      <c r="E1295" t="str">
        <f ca="1">IF(Table1[[#This Row],[is_smoker]]=0,"non-smoker","smoker")</f>
        <v>non-smoker</v>
      </c>
      <c r="F1295" t="s">
        <v>61</v>
      </c>
      <c r="G1295" s="2">
        <v>1.61788617886178</v>
      </c>
      <c r="H1295" s="2">
        <v>1281.7139845384199</v>
      </c>
    </row>
    <row r="1296" spans="1:8" x14ac:dyDescent="0.3">
      <c r="A1296" t="s">
        <v>1364</v>
      </c>
      <c r="B1296" t="s">
        <v>23</v>
      </c>
      <c r="C1296">
        <v>56</v>
      </c>
      <c r="D1296" t="s">
        <v>10</v>
      </c>
      <c r="E1296" t="str">
        <f ca="1">IF(Table1[[#This Row],[is_smoker]]=0,"non-smoker","smoker")</f>
        <v>non-smoker</v>
      </c>
      <c r="F1296" t="s">
        <v>24</v>
      </c>
      <c r="G1296" s="2">
        <v>1.70325203252032</v>
      </c>
      <c r="H1296" s="2">
        <v>1438.7185622598599</v>
      </c>
    </row>
    <row r="1297" spans="1:8" x14ac:dyDescent="0.3">
      <c r="A1297" t="s">
        <v>1365</v>
      </c>
      <c r="B1297" t="s">
        <v>135</v>
      </c>
      <c r="C1297">
        <v>48</v>
      </c>
      <c r="D1297" t="s">
        <v>17</v>
      </c>
      <c r="E1297" t="str">
        <f ca="1">IF(Table1[[#This Row],[is_smoker]]=0,"non-smoker","smoker")</f>
        <v>non-smoker</v>
      </c>
      <c r="F1297" t="s">
        <v>61</v>
      </c>
      <c r="G1297" s="2">
        <v>1.61788617886178</v>
      </c>
      <c r="H1297" s="2">
        <v>4164.8294732904897</v>
      </c>
    </row>
    <row r="1298" spans="1:8" x14ac:dyDescent="0.3">
      <c r="A1298" t="s">
        <v>1366</v>
      </c>
      <c r="B1298" t="s">
        <v>466</v>
      </c>
      <c r="C1298">
        <v>22</v>
      </c>
      <c r="D1298" t="s">
        <v>10</v>
      </c>
      <c r="E1298" t="str">
        <f ca="1">IF(Table1[[#This Row],[is_smoker]]=0,"non-smoker","smoker")</f>
        <v>non-smoker</v>
      </c>
      <c r="F1298" t="s">
        <v>24</v>
      </c>
      <c r="G1298" s="2">
        <v>1.70325203252032</v>
      </c>
      <c r="H1298" s="2">
        <v>1833.16354490563</v>
      </c>
    </row>
    <row r="1299" spans="1:8" x14ac:dyDescent="0.3">
      <c r="A1299" t="s">
        <v>1367</v>
      </c>
      <c r="B1299" t="s">
        <v>113</v>
      </c>
      <c r="C1299">
        <v>47</v>
      </c>
      <c r="D1299" t="s">
        <v>10</v>
      </c>
      <c r="E1299" t="str">
        <f ca="1">IF(Table1[[#This Row],[is_smoker]]=0,"non-smoker","smoker")</f>
        <v>non-smoker</v>
      </c>
      <c r="F1299" t="s">
        <v>24</v>
      </c>
      <c r="G1299" s="2">
        <v>1.70325203252032</v>
      </c>
      <c r="H1299" s="2">
        <v>1534.0150485535701</v>
      </c>
    </row>
    <row r="1300" spans="1:8" x14ac:dyDescent="0.3">
      <c r="A1300" t="s">
        <v>1368</v>
      </c>
      <c r="B1300" t="s">
        <v>88</v>
      </c>
      <c r="C1300">
        <v>22</v>
      </c>
      <c r="D1300" t="s">
        <v>17</v>
      </c>
      <c r="E1300" t="str">
        <f ca="1">IF(Table1[[#This Row],[is_smoker]]=0,"non-smoker","smoker")</f>
        <v>non-smoker</v>
      </c>
      <c r="F1300" t="s">
        <v>11</v>
      </c>
      <c r="G1300" s="2">
        <v>1.1544715447154399</v>
      </c>
      <c r="H1300" s="2">
        <v>3576.8353404562999</v>
      </c>
    </row>
    <row r="1301" spans="1:8" x14ac:dyDescent="0.3">
      <c r="A1301" t="s">
        <v>1369</v>
      </c>
      <c r="B1301" t="s">
        <v>128</v>
      </c>
      <c r="C1301">
        <v>19</v>
      </c>
      <c r="D1301" t="s">
        <v>17</v>
      </c>
      <c r="E1301" t="str">
        <f ca="1">IF(Table1[[#This Row],[is_smoker]]=0,"non-smoker","smoker")</f>
        <v>non-smoker</v>
      </c>
      <c r="F1301" t="s">
        <v>56</v>
      </c>
      <c r="G1301" s="2">
        <v>0.19512195121951201</v>
      </c>
      <c r="H1301" s="2">
        <v>617.59878969994895</v>
      </c>
    </row>
    <row r="1302" spans="1:8" x14ac:dyDescent="0.3">
      <c r="A1302" t="s">
        <v>1370</v>
      </c>
      <c r="B1302" t="s">
        <v>60</v>
      </c>
      <c r="C1302">
        <v>18</v>
      </c>
      <c r="D1302" t="s">
        <v>17</v>
      </c>
      <c r="E1302" t="str">
        <f ca="1">IF(Table1[[#This Row],[is_smoker]]=0,"non-smoker","smoker")</f>
        <v>non-smoker</v>
      </c>
      <c r="F1302" t="s">
        <v>11</v>
      </c>
      <c r="G1302" s="2">
        <v>1.1544715447154399</v>
      </c>
      <c r="H1302" s="2">
        <v>3680.2591624404099</v>
      </c>
    </row>
    <row r="1303" spans="1:8" x14ac:dyDescent="0.3">
      <c r="A1303" t="s">
        <v>1371</v>
      </c>
      <c r="B1303" t="s">
        <v>170</v>
      </c>
      <c r="C1303">
        <v>22</v>
      </c>
      <c r="D1303" t="s">
        <v>17</v>
      </c>
      <c r="E1303" t="str">
        <f ca="1">IF(Table1[[#This Row],[is_smoker]]=0,"non-smoker","smoker")</f>
        <v>smoker</v>
      </c>
      <c r="F1303" t="s">
        <v>24</v>
      </c>
      <c r="G1303" s="2">
        <v>1.70325203252032</v>
      </c>
      <c r="H1303" s="2">
        <v>5667.11783411943</v>
      </c>
    </row>
    <row r="1304" spans="1:8" x14ac:dyDescent="0.3">
      <c r="A1304" t="s">
        <v>1372</v>
      </c>
      <c r="B1304" t="s">
        <v>16</v>
      </c>
      <c r="C1304">
        <v>34</v>
      </c>
      <c r="D1304" t="s">
        <v>17</v>
      </c>
      <c r="E1304" t="str">
        <f ca="1">IF(Table1[[#This Row],[is_smoker]]=0,"non-smoker","smoker")</f>
        <v>non-smoker</v>
      </c>
      <c r="F1304" t="s">
        <v>19</v>
      </c>
      <c r="G1304" s="2">
        <v>1.11788617886178</v>
      </c>
      <c r="H1304" s="2">
        <v>3179.6179310294701</v>
      </c>
    </row>
    <row r="1305" spans="1:8" x14ac:dyDescent="0.3">
      <c r="A1305" t="s">
        <v>1373</v>
      </c>
      <c r="B1305" t="s">
        <v>13</v>
      </c>
      <c r="C1305">
        <v>25</v>
      </c>
      <c r="D1305" t="s">
        <v>10</v>
      </c>
      <c r="E1305" t="str">
        <f ca="1">IF(Table1[[#This Row],[is_smoker]]=0,"non-smoker","smoker")</f>
        <v>non-smoker</v>
      </c>
      <c r="F1305" t="s">
        <v>44</v>
      </c>
      <c r="G1305" s="2">
        <v>1.1341463414634101</v>
      </c>
      <c r="H1305" s="2">
        <v>1194.8318788967299</v>
      </c>
    </row>
    <row r="1306" spans="1:8" x14ac:dyDescent="0.3">
      <c r="A1306" t="s">
        <v>1374</v>
      </c>
      <c r="B1306" t="s">
        <v>21</v>
      </c>
      <c r="C1306">
        <v>36</v>
      </c>
      <c r="D1306" t="s">
        <v>10</v>
      </c>
      <c r="E1306" t="str">
        <f ca="1">IF(Table1[[#This Row],[is_smoker]]=0,"non-smoker","smoker")</f>
        <v>non-smoker</v>
      </c>
      <c r="F1306" t="s">
        <v>24</v>
      </c>
      <c r="G1306" s="2">
        <v>1.70325203252032</v>
      </c>
      <c r="H1306" s="2">
        <v>1659.10212866202</v>
      </c>
    </row>
    <row r="1307" spans="1:8" x14ac:dyDescent="0.3">
      <c r="A1307" t="s">
        <v>1375</v>
      </c>
      <c r="B1307" t="s">
        <v>39</v>
      </c>
      <c r="C1307">
        <v>65</v>
      </c>
      <c r="D1307" t="s">
        <v>10</v>
      </c>
      <c r="E1307" t="str">
        <f ca="1">IF(Table1[[#This Row],[is_smoker]]=0,"non-smoker","smoker")</f>
        <v>non-smoker</v>
      </c>
      <c r="F1307" t="s">
        <v>11</v>
      </c>
      <c r="G1307" s="2">
        <v>1.1544715447154399</v>
      </c>
      <c r="H1307" s="2">
        <v>914.58987841435601</v>
      </c>
    </row>
    <row r="1308" spans="1:8" x14ac:dyDescent="0.3">
      <c r="A1308" t="s">
        <v>1376</v>
      </c>
      <c r="B1308" t="s">
        <v>43</v>
      </c>
      <c r="C1308">
        <v>32</v>
      </c>
      <c r="D1308" t="s">
        <v>17</v>
      </c>
      <c r="E1308" t="str">
        <f ca="1">IF(Table1[[#This Row],[is_smoker]]=0,"non-smoker","smoker")</f>
        <v>non-smoker</v>
      </c>
      <c r="F1308" t="s">
        <v>19</v>
      </c>
      <c r="G1308" s="2">
        <v>1.11788617886178</v>
      </c>
      <c r="H1308" s="2">
        <v>3225.2595126830402</v>
      </c>
    </row>
    <row r="1309" spans="1:8" x14ac:dyDescent="0.3">
      <c r="A1309" t="s">
        <v>1377</v>
      </c>
      <c r="B1309" t="s">
        <v>43</v>
      </c>
      <c r="C1309">
        <v>21</v>
      </c>
      <c r="D1309" t="s">
        <v>10</v>
      </c>
      <c r="E1309" t="str">
        <f ca="1">IF(Table1[[#This Row],[is_smoker]]=0,"non-smoker","smoker")</f>
        <v>non-smoker</v>
      </c>
      <c r="F1309" t="s">
        <v>11</v>
      </c>
      <c r="G1309" s="2">
        <v>1.1544715447154399</v>
      </c>
      <c r="H1309" s="2">
        <v>1251.41222379634</v>
      </c>
    </row>
    <row r="1310" spans="1:8" x14ac:dyDescent="0.3">
      <c r="A1310" t="s">
        <v>1378</v>
      </c>
      <c r="B1310" t="s">
        <v>29</v>
      </c>
      <c r="C1310">
        <v>27</v>
      </c>
      <c r="D1310" t="s">
        <v>10</v>
      </c>
      <c r="E1310" t="str">
        <f ca="1">IF(Table1[[#This Row],[is_smoker]]=0,"non-smoker","smoker")</f>
        <v>non-smoker</v>
      </c>
      <c r="F1310" t="s">
        <v>61</v>
      </c>
      <c r="G1310" s="2">
        <v>1.61788617886178</v>
      </c>
      <c r="H1310" s="2">
        <v>1680.3352681384799</v>
      </c>
    </row>
    <row r="1311" spans="1:8" x14ac:dyDescent="0.3">
      <c r="A1311" t="s">
        <v>1379</v>
      </c>
      <c r="B1311" t="s">
        <v>9</v>
      </c>
      <c r="C1311">
        <v>40</v>
      </c>
      <c r="D1311" t="s">
        <v>10</v>
      </c>
      <c r="E1311" t="str">
        <f ca="1">IF(Table1[[#This Row],[is_smoker]]=0,"non-smoker","smoker")</f>
        <v>non-smoker</v>
      </c>
      <c r="F1311" t="s">
        <v>27</v>
      </c>
      <c r="G1311" s="2">
        <v>0.53252032520325199</v>
      </c>
      <c r="H1311" s="2">
        <v>504.13974629292801</v>
      </c>
    </row>
    <row r="1312" spans="1:8" x14ac:dyDescent="0.3">
      <c r="A1312" t="s">
        <v>1380</v>
      </c>
      <c r="B1312" t="s">
        <v>110</v>
      </c>
      <c r="C1312">
        <v>32</v>
      </c>
      <c r="D1312" t="s">
        <v>10</v>
      </c>
      <c r="E1312" t="str">
        <f ca="1">IF(Table1[[#This Row],[is_smoker]]=0,"non-smoker","smoker")</f>
        <v>non-smoker</v>
      </c>
      <c r="F1312" t="s">
        <v>2004</v>
      </c>
      <c r="G1312" s="2">
        <v>1.2073170731707299</v>
      </c>
      <c r="H1312" s="2">
        <v>1210.02683432401</v>
      </c>
    </row>
    <row r="1313" spans="1:8" x14ac:dyDescent="0.3">
      <c r="A1313" t="s">
        <v>1381</v>
      </c>
      <c r="B1313" t="s">
        <v>60</v>
      </c>
      <c r="C1313">
        <v>28</v>
      </c>
      <c r="D1313" t="s">
        <v>17</v>
      </c>
      <c r="E1313" t="str">
        <f ca="1">IF(Table1[[#This Row],[is_smoker]]=0,"non-smoker","smoker")</f>
        <v>non-smoker</v>
      </c>
      <c r="F1313" t="s">
        <v>48</v>
      </c>
      <c r="G1313" s="2">
        <v>0.46341463414634099</v>
      </c>
      <c r="H1313" s="2">
        <v>1375.6763687356499</v>
      </c>
    </row>
    <row r="1314" spans="1:8" x14ac:dyDescent="0.3">
      <c r="A1314" t="s">
        <v>1382</v>
      </c>
      <c r="B1314" t="s">
        <v>13</v>
      </c>
      <c r="C1314">
        <v>51</v>
      </c>
      <c r="D1314" t="s">
        <v>17</v>
      </c>
      <c r="E1314" t="str">
        <f ca="1">IF(Table1[[#This Row],[is_smoker]]=0,"non-smoker","smoker")</f>
        <v>non-smoker</v>
      </c>
      <c r="F1314" t="s">
        <v>11</v>
      </c>
      <c r="G1314" s="2">
        <v>1.1544715447154399</v>
      </c>
      <c r="H1314" s="2">
        <v>2909.0279975614499</v>
      </c>
    </row>
    <row r="1315" spans="1:8" x14ac:dyDescent="0.3">
      <c r="A1315" t="s">
        <v>1383</v>
      </c>
      <c r="B1315" t="s">
        <v>23</v>
      </c>
      <c r="C1315">
        <v>33</v>
      </c>
      <c r="D1315" t="s">
        <v>10</v>
      </c>
      <c r="E1315" t="str">
        <f ca="1">IF(Table1[[#This Row],[is_smoker]]=0,"non-smoker","smoker")</f>
        <v>non-smoker</v>
      </c>
      <c r="F1315" t="s">
        <v>48</v>
      </c>
      <c r="G1315" s="2">
        <v>0.46341463414634099</v>
      </c>
      <c r="H1315" s="2">
        <v>461.15671826751299</v>
      </c>
    </row>
    <row r="1316" spans="1:8" x14ac:dyDescent="0.3">
      <c r="A1316" t="s">
        <v>1384</v>
      </c>
      <c r="B1316" t="s">
        <v>60</v>
      </c>
      <c r="C1316">
        <v>19</v>
      </c>
      <c r="D1316" t="s">
        <v>17</v>
      </c>
      <c r="E1316" t="str">
        <f ca="1">IF(Table1[[#This Row],[is_smoker]]=0,"non-smoker","smoker")</f>
        <v>non-smoker</v>
      </c>
      <c r="F1316" t="s">
        <v>14</v>
      </c>
      <c r="G1316" s="2">
        <v>0.66666666666666596</v>
      </c>
      <c r="H1316" s="2">
        <v>2110.1291981414902</v>
      </c>
    </row>
    <row r="1317" spans="1:8" x14ac:dyDescent="0.3">
      <c r="A1317" t="s">
        <v>1385</v>
      </c>
      <c r="B1317" t="s">
        <v>29</v>
      </c>
      <c r="C1317">
        <v>50</v>
      </c>
      <c r="D1317" t="s">
        <v>17</v>
      </c>
      <c r="E1317" t="str">
        <f ca="1">IF(Table1[[#This Row],[is_smoker]]=0,"non-smoker","smoker")</f>
        <v>non-smoker</v>
      </c>
      <c r="F1317" t="s">
        <v>11</v>
      </c>
      <c r="G1317" s="2">
        <v>1.1544715447154399</v>
      </c>
      <c r="H1317" s="2">
        <v>2929.8323146885</v>
      </c>
    </row>
    <row r="1318" spans="1:8" x14ac:dyDescent="0.3">
      <c r="A1318" t="s">
        <v>1386</v>
      </c>
      <c r="B1318" t="s">
        <v>13</v>
      </c>
      <c r="C1318">
        <v>60</v>
      </c>
      <c r="D1318" t="s">
        <v>17</v>
      </c>
      <c r="E1318" t="str">
        <f ca="1">IF(Table1[[#This Row],[is_smoker]]=0,"non-smoker","smoker")</f>
        <v>non-smoker</v>
      </c>
      <c r="F1318" t="s">
        <v>27</v>
      </c>
      <c r="G1318" s="2">
        <v>0.53252032520325199</v>
      </c>
      <c r="H1318" s="2">
        <v>1258.4822182175401</v>
      </c>
    </row>
    <row r="1319" spans="1:8" x14ac:dyDescent="0.3">
      <c r="A1319" t="s">
        <v>1387</v>
      </c>
      <c r="B1319" t="s">
        <v>13</v>
      </c>
      <c r="C1319">
        <v>20</v>
      </c>
      <c r="D1319" t="s">
        <v>10</v>
      </c>
      <c r="E1319" t="str">
        <f ca="1">IF(Table1[[#This Row],[is_smoker]]=0,"non-smoker","smoker")</f>
        <v>non-smoker</v>
      </c>
      <c r="F1319" t="s">
        <v>48</v>
      </c>
      <c r="G1319" s="2">
        <v>0.46341463414634099</v>
      </c>
      <c r="H1319" s="2">
        <v>505.91990630655403</v>
      </c>
    </row>
    <row r="1320" spans="1:8" x14ac:dyDescent="0.3">
      <c r="A1320" t="s">
        <v>1388</v>
      </c>
      <c r="B1320" t="s">
        <v>16</v>
      </c>
      <c r="C1320">
        <v>63</v>
      </c>
      <c r="D1320" t="s">
        <v>17</v>
      </c>
      <c r="E1320" t="str">
        <f ca="1">IF(Table1[[#This Row],[is_smoker]]=0,"non-smoker","smoker")</f>
        <v>non-smoker</v>
      </c>
      <c r="F1320" t="s">
        <v>24</v>
      </c>
      <c r="G1320" s="2">
        <v>1.70325203252032</v>
      </c>
      <c r="H1320" s="2">
        <v>3940.0816321982702</v>
      </c>
    </row>
    <row r="1321" spans="1:8" x14ac:dyDescent="0.3">
      <c r="A1321" t="s">
        <v>1389</v>
      </c>
      <c r="B1321" t="s">
        <v>29</v>
      </c>
      <c r="C1321">
        <v>62</v>
      </c>
      <c r="D1321" t="s">
        <v>17</v>
      </c>
      <c r="E1321" t="str">
        <f ca="1">IF(Table1[[#This Row],[is_smoker]]=0,"non-smoker","smoker")</f>
        <v>non-smoker</v>
      </c>
      <c r="F1321" t="s">
        <v>11</v>
      </c>
      <c r="G1321" s="2">
        <v>1.1544715447154399</v>
      </c>
      <c r="H1321" s="2">
        <v>2689.7034533502001</v>
      </c>
    </row>
    <row r="1322" spans="1:8" x14ac:dyDescent="0.3">
      <c r="A1322" t="s">
        <v>1390</v>
      </c>
      <c r="B1322" t="s">
        <v>35</v>
      </c>
      <c r="C1322">
        <v>60</v>
      </c>
      <c r="D1322" t="s">
        <v>10</v>
      </c>
      <c r="E1322" t="str">
        <f ca="1">IF(Table1[[#This Row],[is_smoker]]=0,"non-smoker","smoker")</f>
        <v>non-smoker</v>
      </c>
      <c r="F1322" t="s">
        <v>56</v>
      </c>
      <c r="G1322" s="2">
        <v>0.19512195121951201</v>
      </c>
      <c r="H1322" s="2">
        <v>160.185649525683</v>
      </c>
    </row>
    <row r="1323" spans="1:8" x14ac:dyDescent="0.3">
      <c r="A1323" t="s">
        <v>1391</v>
      </c>
      <c r="B1323" t="s">
        <v>29</v>
      </c>
      <c r="C1323">
        <v>19</v>
      </c>
      <c r="D1323" t="s">
        <v>17</v>
      </c>
      <c r="E1323" t="str">
        <f ca="1">IF(Table1[[#This Row],[is_smoker]]=0,"non-smoker","smoker")</f>
        <v>smoker</v>
      </c>
      <c r="F1323" t="s">
        <v>2004</v>
      </c>
      <c r="G1323" s="2">
        <v>1.2073170731707299</v>
      </c>
      <c r="H1323" s="2">
        <v>4103.8290389540998</v>
      </c>
    </row>
    <row r="1324" spans="1:8" x14ac:dyDescent="0.3">
      <c r="A1324" t="s">
        <v>1392</v>
      </c>
      <c r="B1324" t="s">
        <v>16</v>
      </c>
      <c r="C1324">
        <v>39</v>
      </c>
      <c r="D1324" t="s">
        <v>17</v>
      </c>
      <c r="E1324" t="str">
        <f ca="1">IF(Table1[[#This Row],[is_smoker]]=0,"non-smoker","smoker")</f>
        <v>non-smoker</v>
      </c>
      <c r="F1324" t="s">
        <v>27</v>
      </c>
      <c r="G1324" s="2">
        <v>0.53252032520325199</v>
      </c>
      <c r="H1324" s="2">
        <v>1461.63596552284</v>
      </c>
    </row>
    <row r="1325" spans="1:8" x14ac:dyDescent="0.3">
      <c r="A1325" t="s">
        <v>1393</v>
      </c>
      <c r="B1325" t="s">
        <v>110</v>
      </c>
      <c r="C1325">
        <v>28</v>
      </c>
      <c r="D1325" t="s">
        <v>17</v>
      </c>
      <c r="E1325" t="str">
        <f ca="1">IF(Table1[[#This Row],[is_smoker]]=0,"non-smoker","smoker")</f>
        <v>non-smoker</v>
      </c>
      <c r="F1325" t="s">
        <v>48</v>
      </c>
      <c r="G1325" s="2">
        <v>0.46341463414634099</v>
      </c>
      <c r="H1325" s="2">
        <v>1375.6763687356499</v>
      </c>
    </row>
    <row r="1326" spans="1:8" x14ac:dyDescent="0.3">
      <c r="A1326" t="s">
        <v>1394</v>
      </c>
      <c r="B1326" t="s">
        <v>13</v>
      </c>
      <c r="C1326">
        <v>54</v>
      </c>
      <c r="D1326" t="s">
        <v>17</v>
      </c>
      <c r="E1326" t="str">
        <f ca="1">IF(Table1[[#This Row],[is_smoker]]=0,"non-smoker","smoker")</f>
        <v>non-smoker</v>
      </c>
      <c r="F1326" t="s">
        <v>27</v>
      </c>
      <c r="G1326" s="2">
        <v>0.53252032520325199</v>
      </c>
      <c r="H1326" s="2">
        <v>1313.45822858618</v>
      </c>
    </row>
    <row r="1327" spans="1:8" x14ac:dyDescent="0.3">
      <c r="A1327" t="s">
        <v>1395</v>
      </c>
      <c r="B1327" t="s">
        <v>43</v>
      </c>
      <c r="C1327">
        <v>46</v>
      </c>
      <c r="D1327" t="s">
        <v>10</v>
      </c>
      <c r="E1327" t="str">
        <f ca="1">IF(Table1[[#This Row],[is_smoker]]=0,"non-smoker","smoker")</f>
        <v>non-smoker</v>
      </c>
      <c r="F1327" t="s">
        <v>19</v>
      </c>
      <c r="G1327" s="2">
        <v>1.11788617886178</v>
      </c>
      <c r="H1327" s="2">
        <v>1014.01214014861</v>
      </c>
    </row>
    <row r="1328" spans="1:8" x14ac:dyDescent="0.3">
      <c r="A1328" t="s">
        <v>1396</v>
      </c>
      <c r="B1328" t="s">
        <v>29</v>
      </c>
      <c r="C1328">
        <v>20</v>
      </c>
      <c r="D1328" t="s">
        <v>17</v>
      </c>
      <c r="E1328" t="str">
        <f ca="1">IF(Table1[[#This Row],[is_smoker]]=0,"non-smoker","smoker")</f>
        <v>non-smoker</v>
      </c>
      <c r="F1328" t="s">
        <v>2004</v>
      </c>
      <c r="G1328" s="2">
        <v>1.2073170731707299</v>
      </c>
      <c r="H1328" s="2">
        <v>3794.2573536443001</v>
      </c>
    </row>
    <row r="1329" spans="1:8" x14ac:dyDescent="0.3">
      <c r="A1329" t="s">
        <v>1397</v>
      </c>
      <c r="B1329" t="s">
        <v>37</v>
      </c>
      <c r="C1329">
        <v>37</v>
      </c>
      <c r="D1329" t="s">
        <v>17</v>
      </c>
      <c r="E1329" t="str">
        <f ca="1">IF(Table1[[#This Row],[is_smoker]]=0,"non-smoker","smoker")</f>
        <v>non-smoker</v>
      </c>
      <c r="F1329" t="s">
        <v>24</v>
      </c>
      <c r="G1329" s="2">
        <v>1.70325203252032</v>
      </c>
      <c r="H1329" s="2">
        <v>4742.1105646722299</v>
      </c>
    </row>
    <row r="1330" spans="1:8" x14ac:dyDescent="0.3">
      <c r="A1330" t="s">
        <v>1398</v>
      </c>
      <c r="B1330" t="s">
        <v>23</v>
      </c>
      <c r="C1330">
        <v>33</v>
      </c>
      <c r="D1330" t="s">
        <v>17</v>
      </c>
      <c r="E1330" t="str">
        <f ca="1">IF(Table1[[#This Row],[is_smoker]]=0,"non-smoker","smoker")</f>
        <v>non-smoker</v>
      </c>
      <c r="F1330" t="s">
        <v>11</v>
      </c>
      <c r="G1330" s="2">
        <v>1.1544715447154399</v>
      </c>
      <c r="H1330" s="2">
        <v>3307.1618339029501</v>
      </c>
    </row>
    <row r="1331" spans="1:8" x14ac:dyDescent="0.3">
      <c r="A1331" t="s">
        <v>1399</v>
      </c>
      <c r="B1331" t="s">
        <v>254</v>
      </c>
      <c r="C1331">
        <v>22</v>
      </c>
      <c r="D1331" t="s">
        <v>10</v>
      </c>
      <c r="E1331" t="str">
        <f ca="1">IF(Table1[[#This Row],[is_smoker]]=0,"non-smoker","smoker")</f>
        <v>non-smoker</v>
      </c>
      <c r="F1331" t="s">
        <v>11</v>
      </c>
      <c r="G1331" s="2">
        <v>1.1544715447154399</v>
      </c>
      <c r="H1331" s="2">
        <v>1242.5261259026199</v>
      </c>
    </row>
    <row r="1332" spans="1:8" x14ac:dyDescent="0.3">
      <c r="A1332" t="s">
        <v>1400</v>
      </c>
      <c r="B1332" t="s">
        <v>50</v>
      </c>
      <c r="C1332">
        <v>28</v>
      </c>
      <c r="D1332" t="s">
        <v>10</v>
      </c>
      <c r="E1332" t="str">
        <f ca="1">IF(Table1[[#This Row],[is_smoker]]=0,"non-smoker","smoker")</f>
        <v>non-smoker</v>
      </c>
      <c r="F1332" t="s">
        <v>11</v>
      </c>
      <c r="G1332" s="2">
        <v>1.1544715447154399</v>
      </c>
      <c r="H1332" s="2">
        <v>1190.5190443721599</v>
      </c>
    </row>
    <row r="1333" spans="1:8" x14ac:dyDescent="0.3">
      <c r="A1333" t="s">
        <v>1401</v>
      </c>
      <c r="B1333" t="s">
        <v>113</v>
      </c>
      <c r="C1333">
        <v>50</v>
      </c>
      <c r="D1333" t="s">
        <v>17</v>
      </c>
      <c r="E1333" t="str">
        <f ca="1">IF(Table1[[#This Row],[is_smoker]]=0,"non-smoker","smoker")</f>
        <v>non-smoker</v>
      </c>
      <c r="F1333" t="s">
        <v>2004</v>
      </c>
      <c r="G1333" s="2">
        <v>1.2073170731707299</v>
      </c>
      <c r="H1333" s="2">
        <v>3063.9443572622699</v>
      </c>
    </row>
    <row r="1334" spans="1:8" x14ac:dyDescent="0.3">
      <c r="A1334" t="s">
        <v>1402</v>
      </c>
      <c r="B1334" t="s">
        <v>13</v>
      </c>
      <c r="C1334">
        <v>19</v>
      </c>
      <c r="D1334" t="s">
        <v>17</v>
      </c>
      <c r="E1334" t="str">
        <f ca="1">IF(Table1[[#This Row],[is_smoker]]=0,"non-smoker","smoker")</f>
        <v>non-smoker</v>
      </c>
      <c r="F1334" t="s">
        <v>56</v>
      </c>
      <c r="G1334" s="2">
        <v>0.19512195121951201</v>
      </c>
      <c r="H1334" s="2">
        <v>617.59878969994895</v>
      </c>
    </row>
    <row r="1335" spans="1:8" x14ac:dyDescent="0.3">
      <c r="A1335" t="s">
        <v>1403</v>
      </c>
      <c r="B1335" t="s">
        <v>82</v>
      </c>
      <c r="C1335">
        <v>53</v>
      </c>
      <c r="D1335" t="s">
        <v>10</v>
      </c>
      <c r="E1335" t="str">
        <f ca="1">IF(Table1[[#This Row],[is_smoker]]=0,"non-smoker","smoker")</f>
        <v>non-smoker</v>
      </c>
      <c r="F1335" t="s">
        <v>14</v>
      </c>
      <c r="G1335" s="2">
        <v>0.66666666666666596</v>
      </c>
      <c r="H1335" s="2">
        <v>575.29455425856895</v>
      </c>
    </row>
    <row r="1336" spans="1:8" x14ac:dyDescent="0.3">
      <c r="A1336" t="s">
        <v>1404</v>
      </c>
      <c r="B1336" t="s">
        <v>60</v>
      </c>
      <c r="C1336">
        <v>43</v>
      </c>
      <c r="D1336" t="s">
        <v>10</v>
      </c>
      <c r="E1336" t="str">
        <f ca="1">IF(Table1[[#This Row],[is_smoker]]=0,"non-smoker","smoker")</f>
        <v>non-smoker</v>
      </c>
      <c r="F1336" t="s">
        <v>44</v>
      </c>
      <c r="G1336" s="2">
        <v>1.1341463414634101</v>
      </c>
      <c r="H1336" s="2">
        <v>1050.9916244369499</v>
      </c>
    </row>
    <row r="1337" spans="1:8" x14ac:dyDescent="0.3">
      <c r="A1337" t="s">
        <v>1405</v>
      </c>
      <c r="B1337" t="s">
        <v>13</v>
      </c>
      <c r="C1337">
        <v>42</v>
      </c>
      <c r="D1337" t="s">
        <v>10</v>
      </c>
      <c r="E1337" t="str">
        <f ca="1">IF(Table1[[#This Row],[is_smoker]]=0,"non-smoker","smoker")</f>
        <v>non-smoker</v>
      </c>
      <c r="F1337" t="s">
        <v>61</v>
      </c>
      <c r="G1337" s="2">
        <v>1.61788617886178</v>
      </c>
      <c r="H1337" s="2">
        <v>1509.98623239991</v>
      </c>
    </row>
    <row r="1338" spans="1:8" x14ac:dyDescent="0.3">
      <c r="A1338" t="s">
        <v>1406</v>
      </c>
      <c r="B1338" t="s">
        <v>50</v>
      </c>
      <c r="C1338">
        <v>40</v>
      </c>
      <c r="D1338" t="s">
        <v>17</v>
      </c>
      <c r="E1338" t="str">
        <f ca="1">IF(Table1[[#This Row],[is_smoker]]=0,"non-smoker","smoker")</f>
        <v>non-smoker</v>
      </c>
      <c r="F1338" t="s">
        <v>48</v>
      </c>
      <c r="G1338" s="2">
        <v>0.46341463414634099</v>
      </c>
      <c r="H1338" s="2">
        <v>1262.92602519607</v>
      </c>
    </row>
    <row r="1339" spans="1:8" x14ac:dyDescent="0.3">
      <c r="A1339" t="s">
        <v>1407</v>
      </c>
      <c r="B1339" t="s">
        <v>82</v>
      </c>
      <c r="C1339">
        <v>52</v>
      </c>
      <c r="D1339" t="s">
        <v>17</v>
      </c>
      <c r="E1339" t="str">
        <f ca="1">IF(Table1[[#This Row],[is_smoker]]=0,"non-smoker","smoker")</f>
        <v>non-smoker</v>
      </c>
      <c r="F1339" t="s">
        <v>56</v>
      </c>
      <c r="G1339" s="2">
        <v>0.19512195121951201</v>
      </c>
      <c r="H1339" s="2">
        <v>488.17544939032803</v>
      </c>
    </row>
    <row r="1340" spans="1:8" x14ac:dyDescent="0.3">
      <c r="A1340" t="s">
        <v>1408</v>
      </c>
      <c r="B1340" t="s">
        <v>41</v>
      </c>
      <c r="C1340">
        <v>60</v>
      </c>
      <c r="D1340" t="s">
        <v>10</v>
      </c>
      <c r="E1340" t="str">
        <f ca="1">IF(Table1[[#This Row],[is_smoker]]=0,"non-smoker","smoker")</f>
        <v>non-smoker</v>
      </c>
      <c r="F1340" t="s">
        <v>24</v>
      </c>
      <c r="G1340" s="2">
        <v>1.70325203252032</v>
      </c>
      <c r="H1340" s="2">
        <v>1398.2872323179399</v>
      </c>
    </row>
    <row r="1341" spans="1:8" x14ac:dyDescent="0.3">
      <c r="A1341" t="s">
        <v>1409</v>
      </c>
      <c r="B1341" t="s">
        <v>33</v>
      </c>
      <c r="C1341">
        <v>30</v>
      </c>
      <c r="D1341" t="s">
        <v>10</v>
      </c>
      <c r="E1341" t="str">
        <f ca="1">IF(Table1[[#This Row],[is_smoker]]=0,"non-smoker","smoker")</f>
        <v>non-smoker</v>
      </c>
      <c r="F1341" t="s">
        <v>48</v>
      </c>
      <c r="G1341" s="2">
        <v>0.46341463414634099</v>
      </c>
      <c r="H1341" s="2">
        <v>471.12172448521397</v>
      </c>
    </row>
    <row r="1342" spans="1:8" x14ac:dyDescent="0.3">
      <c r="A1342" t="s">
        <v>1410</v>
      </c>
      <c r="B1342" t="s">
        <v>113</v>
      </c>
      <c r="C1342">
        <v>65</v>
      </c>
      <c r="D1342" t="s">
        <v>10</v>
      </c>
      <c r="E1342" t="str">
        <f ca="1">IF(Table1[[#This Row],[is_smoker]]=0,"non-smoker","smoker")</f>
        <v>non-smoker</v>
      </c>
      <c r="F1342" t="s">
        <v>11</v>
      </c>
      <c r="G1342" s="2">
        <v>1.1544715447154399</v>
      </c>
      <c r="H1342" s="2">
        <v>914.58987841435601</v>
      </c>
    </row>
    <row r="1343" spans="1:8" x14ac:dyDescent="0.3">
      <c r="A1343" t="s">
        <v>1411</v>
      </c>
      <c r="B1343" t="s">
        <v>35</v>
      </c>
      <c r="C1343">
        <v>42</v>
      </c>
      <c r="D1343" t="s">
        <v>10</v>
      </c>
      <c r="E1343" t="str">
        <f ca="1">IF(Table1[[#This Row],[is_smoker]]=0,"non-smoker","smoker")</f>
        <v>non-smoker</v>
      </c>
      <c r="F1343" t="s">
        <v>27</v>
      </c>
      <c r="G1343" s="2">
        <v>0.53252032520325199</v>
      </c>
      <c r="H1343" s="2">
        <v>497.00551870449499</v>
      </c>
    </row>
    <row r="1344" spans="1:8" x14ac:dyDescent="0.3">
      <c r="A1344" t="s">
        <v>1412</v>
      </c>
      <c r="B1344" t="s">
        <v>23</v>
      </c>
      <c r="C1344">
        <v>44</v>
      </c>
      <c r="D1344" t="s">
        <v>10</v>
      </c>
      <c r="E1344" t="str">
        <f ca="1">IF(Table1[[#This Row],[is_smoker]]=0,"non-smoker","smoker")</f>
        <v>non-smoker</v>
      </c>
      <c r="F1344" t="s">
        <v>24</v>
      </c>
      <c r="G1344" s="2">
        <v>1.70325203252032</v>
      </c>
      <c r="H1344" s="2">
        <v>1567.1631496032701</v>
      </c>
    </row>
    <row r="1345" spans="1:8" x14ac:dyDescent="0.3">
      <c r="A1345" t="s">
        <v>1413</v>
      </c>
      <c r="B1345" t="s">
        <v>23</v>
      </c>
      <c r="C1345">
        <v>41</v>
      </c>
      <c r="D1345" t="s">
        <v>10</v>
      </c>
      <c r="E1345" t="str">
        <f ca="1">IF(Table1[[#This Row],[is_smoker]]=0,"non-smoker","smoker")</f>
        <v>non-smoker</v>
      </c>
      <c r="F1345" t="s">
        <v>48</v>
      </c>
      <c r="G1345" s="2">
        <v>0.46341463414634099</v>
      </c>
      <c r="H1345" s="2">
        <v>435.60176469886801</v>
      </c>
    </row>
    <row r="1346" spans="1:8" x14ac:dyDescent="0.3">
      <c r="A1346" t="s">
        <v>1414</v>
      </c>
      <c r="B1346" t="s">
        <v>16</v>
      </c>
      <c r="C1346">
        <v>48</v>
      </c>
      <c r="D1346" t="s">
        <v>17</v>
      </c>
      <c r="E1346" t="str">
        <f ca="1">IF(Table1[[#This Row],[is_smoker]]=0,"non-smoker","smoker")</f>
        <v>non-smoker</v>
      </c>
      <c r="F1346" t="s">
        <v>11</v>
      </c>
      <c r="G1346" s="2">
        <v>1.1544715447154399</v>
      </c>
      <c r="H1346" s="2">
        <v>2971.8883678756301</v>
      </c>
    </row>
    <row r="1347" spans="1:8" x14ac:dyDescent="0.3">
      <c r="A1347" t="s">
        <v>1415</v>
      </c>
      <c r="B1347" t="s">
        <v>29</v>
      </c>
      <c r="C1347">
        <v>27</v>
      </c>
      <c r="D1347" t="s">
        <v>10</v>
      </c>
      <c r="E1347" t="str">
        <f ca="1">IF(Table1[[#This Row],[is_smoker]]=0,"non-smoker","smoker")</f>
        <v>non-smoker</v>
      </c>
      <c r="F1347" t="s">
        <v>48</v>
      </c>
      <c r="G1347" s="2">
        <v>0.46341463414634099</v>
      </c>
      <c r="H1347" s="2">
        <v>481.30206172810699</v>
      </c>
    </row>
    <row r="1348" spans="1:8" x14ac:dyDescent="0.3">
      <c r="A1348" t="s">
        <v>1416</v>
      </c>
      <c r="B1348" t="s">
        <v>113</v>
      </c>
      <c r="C1348">
        <v>30</v>
      </c>
      <c r="D1348" t="s">
        <v>17</v>
      </c>
      <c r="E1348" t="str">
        <f ca="1">IF(Table1[[#This Row],[is_smoker]]=0,"non-smoker","smoker")</f>
        <v>non-smoker</v>
      </c>
      <c r="F1348" t="s">
        <v>27</v>
      </c>
      <c r="G1348" s="2">
        <v>0.53252032520325199</v>
      </c>
      <c r="H1348" s="2">
        <v>1558.4504332086301</v>
      </c>
    </row>
    <row r="1349" spans="1:8" x14ac:dyDescent="0.3">
      <c r="A1349" t="s">
        <v>1417</v>
      </c>
      <c r="B1349" t="s">
        <v>175</v>
      </c>
      <c r="C1349">
        <v>65</v>
      </c>
      <c r="D1349" t="s">
        <v>10</v>
      </c>
      <c r="E1349" t="str">
        <f ca="1">IF(Table1[[#This Row],[is_smoker]]=0,"non-smoker","smoker")</f>
        <v>non-smoker</v>
      </c>
      <c r="F1349" t="s">
        <v>11</v>
      </c>
      <c r="G1349" s="2">
        <v>1.1544715447154399</v>
      </c>
      <c r="H1349" s="2">
        <v>914.58987841435601</v>
      </c>
    </row>
    <row r="1350" spans="1:8" x14ac:dyDescent="0.3">
      <c r="A1350" t="s">
        <v>1418</v>
      </c>
      <c r="B1350" t="s">
        <v>13</v>
      </c>
      <c r="C1350">
        <v>51</v>
      </c>
      <c r="D1350" t="s">
        <v>10</v>
      </c>
      <c r="E1350" t="str">
        <f ca="1">IF(Table1[[#This Row],[is_smoker]]=0,"non-smoker","smoker")</f>
        <v>non-smoker</v>
      </c>
      <c r="F1350" t="s">
        <v>14</v>
      </c>
      <c r="G1350" s="2">
        <v>0.66666666666666596</v>
      </c>
      <c r="H1350" s="2">
        <v>583.55257580160003</v>
      </c>
    </row>
    <row r="1351" spans="1:8" x14ac:dyDescent="0.3">
      <c r="A1351" t="s">
        <v>1419</v>
      </c>
      <c r="B1351" t="s">
        <v>13</v>
      </c>
      <c r="C1351">
        <v>29</v>
      </c>
      <c r="D1351" t="s">
        <v>10</v>
      </c>
      <c r="E1351" t="str">
        <f ca="1">IF(Table1[[#This Row],[is_smoker]]=0,"non-smoker","smoker")</f>
        <v>non-smoker</v>
      </c>
      <c r="F1351" t="s">
        <v>56</v>
      </c>
      <c r="G1351" s="2">
        <v>0.19512195121951201</v>
      </c>
      <c r="H1351" s="2">
        <v>199.78569129665101</v>
      </c>
    </row>
    <row r="1352" spans="1:8" x14ac:dyDescent="0.3">
      <c r="A1352" t="s">
        <v>1420</v>
      </c>
      <c r="B1352" t="s">
        <v>135</v>
      </c>
      <c r="C1352">
        <v>58</v>
      </c>
      <c r="D1352" t="s">
        <v>17</v>
      </c>
      <c r="E1352" t="str">
        <f ca="1">IF(Table1[[#This Row],[is_smoker]]=0,"non-smoker","smoker")</f>
        <v>non-smoker</v>
      </c>
      <c r="F1352" t="s">
        <v>19</v>
      </c>
      <c r="G1352" s="2">
        <v>1.11788617886178</v>
      </c>
      <c r="H1352" s="2">
        <v>2679.7742464432699</v>
      </c>
    </row>
    <row r="1353" spans="1:8" x14ac:dyDescent="0.3">
      <c r="A1353" t="s">
        <v>1421</v>
      </c>
      <c r="B1353" t="s">
        <v>23</v>
      </c>
      <c r="C1353">
        <v>65</v>
      </c>
      <c r="D1353" t="s">
        <v>17</v>
      </c>
      <c r="E1353" t="str">
        <f ca="1">IF(Table1[[#This Row],[is_smoker]]=0,"non-smoker","smoker")</f>
        <v>non-smoker</v>
      </c>
      <c r="F1353" t="s">
        <v>61</v>
      </c>
      <c r="G1353" s="2">
        <v>1.61788617886178</v>
      </c>
      <c r="H1353" s="2">
        <v>3689.64465268186</v>
      </c>
    </row>
    <row r="1354" spans="1:8" x14ac:dyDescent="0.3">
      <c r="A1354" t="s">
        <v>1422</v>
      </c>
      <c r="B1354" t="s">
        <v>113</v>
      </c>
      <c r="C1354">
        <v>43</v>
      </c>
      <c r="D1354" t="s">
        <v>10</v>
      </c>
      <c r="E1354" t="str">
        <f ca="1">IF(Table1[[#This Row],[is_smoker]]=0,"non-smoker","smoker")</f>
        <v>non-smoker</v>
      </c>
      <c r="F1354" t="s">
        <v>2004</v>
      </c>
      <c r="G1354" s="2">
        <v>1.2073170731707299</v>
      </c>
      <c r="H1354" s="2">
        <v>1118.7975356909401</v>
      </c>
    </row>
    <row r="1355" spans="1:8" x14ac:dyDescent="0.3">
      <c r="A1355" t="s">
        <v>1423</v>
      </c>
      <c r="B1355" t="s">
        <v>29</v>
      </c>
      <c r="C1355">
        <v>24</v>
      </c>
      <c r="D1355" t="s">
        <v>10</v>
      </c>
      <c r="E1355" t="str">
        <f ca="1">IF(Table1[[#This Row],[is_smoker]]=0,"non-smoker","smoker")</f>
        <v>non-smoker</v>
      </c>
      <c r="F1355" t="s">
        <v>61</v>
      </c>
      <c r="G1355" s="2">
        <v>1.61788617886178</v>
      </c>
      <c r="H1355" s="2">
        <v>1716.6451617853199</v>
      </c>
    </row>
    <row r="1356" spans="1:8" x14ac:dyDescent="0.3">
      <c r="A1356" t="s">
        <v>1424</v>
      </c>
      <c r="B1356" t="s">
        <v>13</v>
      </c>
      <c r="C1356">
        <v>48</v>
      </c>
      <c r="D1356" t="s">
        <v>10</v>
      </c>
      <c r="E1356" t="str">
        <f ca="1">IF(Table1[[#This Row],[is_smoker]]=0,"non-smoker","smoker")</f>
        <v>non-smoker</v>
      </c>
      <c r="F1356" t="s">
        <v>24</v>
      </c>
      <c r="G1356" s="2">
        <v>1.70325203252032</v>
      </c>
      <c r="H1356" s="2">
        <v>1523.1222287195601</v>
      </c>
    </row>
    <row r="1357" spans="1:8" x14ac:dyDescent="0.3">
      <c r="A1357" t="s">
        <v>1425</v>
      </c>
      <c r="B1357" t="s">
        <v>13</v>
      </c>
      <c r="C1357">
        <v>18</v>
      </c>
      <c r="D1357" t="s">
        <v>17</v>
      </c>
      <c r="E1357" t="str">
        <f ca="1">IF(Table1[[#This Row],[is_smoker]]=0,"non-smoker","smoker")</f>
        <v>non-smoker</v>
      </c>
      <c r="F1357" t="s">
        <v>61</v>
      </c>
      <c r="G1357" s="2">
        <v>1.61788617886178</v>
      </c>
      <c r="H1357" s="2">
        <v>5157.5462910256401</v>
      </c>
    </row>
    <row r="1358" spans="1:8" x14ac:dyDescent="0.3">
      <c r="A1358" t="s">
        <v>1426</v>
      </c>
      <c r="B1358" t="s">
        <v>13</v>
      </c>
      <c r="C1358">
        <v>42</v>
      </c>
      <c r="D1358" t="s">
        <v>17</v>
      </c>
      <c r="E1358" t="str">
        <f ca="1">IF(Table1[[#This Row],[is_smoker]]=0,"non-smoker","smoker")</f>
        <v>non-smoker</v>
      </c>
      <c r="F1358" t="s">
        <v>11</v>
      </c>
      <c r="G1358" s="2">
        <v>1.1544715447154399</v>
      </c>
      <c r="H1358" s="2">
        <v>3101.7134566704199</v>
      </c>
    </row>
    <row r="1359" spans="1:8" x14ac:dyDescent="0.3">
      <c r="A1359" t="s">
        <v>1427</v>
      </c>
      <c r="B1359" t="s">
        <v>46</v>
      </c>
      <c r="C1359">
        <v>25</v>
      </c>
      <c r="D1359" t="s">
        <v>17</v>
      </c>
      <c r="E1359" t="str">
        <f ca="1">IF(Table1[[#This Row],[is_smoker]]=0,"non-smoker","smoker")</f>
        <v>non-smoker</v>
      </c>
      <c r="F1359" t="s">
        <v>14</v>
      </c>
      <c r="G1359" s="2">
        <v>0.66666666666666596</v>
      </c>
      <c r="H1359" s="2">
        <v>2021.8077866558299</v>
      </c>
    </row>
    <row r="1360" spans="1:8" x14ac:dyDescent="0.3">
      <c r="A1360" t="s">
        <v>1428</v>
      </c>
      <c r="B1360" t="s">
        <v>29</v>
      </c>
      <c r="C1360">
        <v>23</v>
      </c>
      <c r="D1360" t="s">
        <v>17</v>
      </c>
      <c r="E1360" t="str">
        <f ca="1">IF(Table1[[#This Row],[is_smoker]]=0,"non-smoker","smoker")</f>
        <v>non-smoker</v>
      </c>
      <c r="F1360" t="s">
        <v>19</v>
      </c>
      <c r="G1360" s="2">
        <v>1.11788617886178</v>
      </c>
      <c r="H1360" s="2">
        <v>3438.8912173169701</v>
      </c>
    </row>
    <row r="1361" spans="1:8" x14ac:dyDescent="0.3">
      <c r="A1361" t="s">
        <v>1429</v>
      </c>
      <c r="B1361" t="s">
        <v>29</v>
      </c>
      <c r="C1361">
        <v>34</v>
      </c>
      <c r="D1361" t="s">
        <v>10</v>
      </c>
      <c r="E1361" t="str">
        <f ca="1">IF(Table1[[#This Row],[is_smoker]]=0,"non-smoker","smoker")</f>
        <v>non-smoker</v>
      </c>
      <c r="F1361" t="s">
        <v>56</v>
      </c>
      <c r="G1361" s="2">
        <v>0.19512195121951201</v>
      </c>
      <c r="H1361" s="2">
        <v>192.79246772885099</v>
      </c>
    </row>
    <row r="1362" spans="1:8" x14ac:dyDescent="0.3">
      <c r="A1362" t="s">
        <v>1430</v>
      </c>
      <c r="B1362" t="s">
        <v>82</v>
      </c>
      <c r="C1362">
        <v>47</v>
      </c>
      <c r="D1362" t="s">
        <v>10</v>
      </c>
      <c r="E1362" t="str">
        <f ca="1">IF(Table1[[#This Row],[is_smoker]]=0,"non-smoker","smoker")</f>
        <v>non-smoker</v>
      </c>
      <c r="F1362" t="s">
        <v>56</v>
      </c>
      <c r="G1362" s="2">
        <v>0.19512195121951201</v>
      </c>
      <c r="H1362" s="2">
        <v>175.73442083668601</v>
      </c>
    </row>
    <row r="1363" spans="1:8" x14ac:dyDescent="0.3">
      <c r="A1363" t="s">
        <v>1431</v>
      </c>
      <c r="B1363" t="s">
        <v>63</v>
      </c>
      <c r="C1363">
        <v>49</v>
      </c>
      <c r="D1363" t="s">
        <v>17</v>
      </c>
      <c r="E1363" t="str">
        <f ca="1">IF(Table1[[#This Row],[is_smoker]]=0,"non-smoker","smoker")</f>
        <v>non-smoker</v>
      </c>
      <c r="F1363" t="s">
        <v>27</v>
      </c>
      <c r="G1363" s="2">
        <v>0.53252032520325199</v>
      </c>
      <c r="H1363" s="2">
        <v>1361.1017239347</v>
      </c>
    </row>
    <row r="1364" spans="1:8" x14ac:dyDescent="0.3">
      <c r="A1364" t="s">
        <v>1432</v>
      </c>
      <c r="B1364" t="s">
        <v>408</v>
      </c>
      <c r="C1364">
        <v>46</v>
      </c>
      <c r="D1364" t="s">
        <v>17</v>
      </c>
      <c r="E1364" t="str">
        <f ca="1">IF(Table1[[#This Row],[is_smoker]]=0,"non-smoker","smoker")</f>
        <v>non-smoker</v>
      </c>
      <c r="F1364" t="s">
        <v>2004</v>
      </c>
      <c r="G1364" s="2">
        <v>1.2073170731707299</v>
      </c>
      <c r="H1364" s="2">
        <v>3152.5379897928301</v>
      </c>
    </row>
    <row r="1365" spans="1:8" x14ac:dyDescent="0.3">
      <c r="A1365" t="s">
        <v>1433</v>
      </c>
      <c r="B1365" t="s">
        <v>201</v>
      </c>
      <c r="C1365">
        <v>27</v>
      </c>
      <c r="D1365" t="s">
        <v>10</v>
      </c>
      <c r="E1365" t="str">
        <f ca="1">IF(Table1[[#This Row],[is_smoker]]=0,"non-smoker","smoker")</f>
        <v>non-smoker</v>
      </c>
      <c r="F1365" t="s">
        <v>48</v>
      </c>
      <c r="G1365" s="2">
        <v>0.46341463414634099</v>
      </c>
      <c r="H1365" s="2">
        <v>481.30206172810699</v>
      </c>
    </row>
    <row r="1366" spans="1:8" x14ac:dyDescent="0.3">
      <c r="A1366" t="s">
        <v>1434</v>
      </c>
      <c r="B1366" t="s">
        <v>178</v>
      </c>
      <c r="C1366">
        <v>21</v>
      </c>
      <c r="D1366" t="s">
        <v>10</v>
      </c>
      <c r="E1366" t="str">
        <f ca="1">IF(Table1[[#This Row],[is_smoker]]=0,"non-smoker","smoker")</f>
        <v>non-smoker</v>
      </c>
      <c r="F1366" t="s">
        <v>14</v>
      </c>
      <c r="G1366" s="2">
        <v>0.66666666666666596</v>
      </c>
      <c r="H1366" s="2">
        <v>722.64649543169298</v>
      </c>
    </row>
    <row r="1367" spans="1:8" x14ac:dyDescent="0.3">
      <c r="A1367" t="s">
        <v>1435</v>
      </c>
      <c r="B1367" t="s">
        <v>13</v>
      </c>
      <c r="C1367">
        <v>29</v>
      </c>
      <c r="D1367" t="s">
        <v>10</v>
      </c>
      <c r="E1367" t="str">
        <f ca="1">IF(Table1[[#This Row],[is_smoker]]=0,"non-smoker","smoker")</f>
        <v>non-smoker</v>
      </c>
      <c r="F1367" t="s">
        <v>48</v>
      </c>
      <c r="G1367" s="2">
        <v>0.46341463414634099</v>
      </c>
      <c r="H1367" s="2">
        <v>474.49101682954603</v>
      </c>
    </row>
    <row r="1368" spans="1:8" x14ac:dyDescent="0.3">
      <c r="A1368" t="s">
        <v>1436</v>
      </c>
      <c r="B1368" t="s">
        <v>37</v>
      </c>
      <c r="C1368">
        <v>50</v>
      </c>
      <c r="D1368" t="s">
        <v>17</v>
      </c>
      <c r="E1368" t="str">
        <f ca="1">IF(Table1[[#This Row],[is_smoker]]=0,"non-smoker","smoker")</f>
        <v>non-smoker</v>
      </c>
      <c r="F1368" t="s">
        <v>19</v>
      </c>
      <c r="G1368" s="2">
        <v>1.11788617886178</v>
      </c>
      <c r="H1368" s="2">
        <v>2836.9855159835802</v>
      </c>
    </row>
    <row r="1369" spans="1:8" x14ac:dyDescent="0.3">
      <c r="A1369" t="s">
        <v>1437</v>
      </c>
      <c r="B1369" t="s">
        <v>60</v>
      </c>
      <c r="C1369">
        <v>48</v>
      </c>
      <c r="D1369" t="s">
        <v>10</v>
      </c>
      <c r="E1369" t="str">
        <f ca="1">IF(Table1[[#This Row],[is_smoker]]=0,"non-smoker","smoker")</f>
        <v>non-smoker</v>
      </c>
      <c r="F1369" t="s">
        <v>61</v>
      </c>
      <c r="G1369" s="2">
        <v>1.61788617886178</v>
      </c>
      <c r="H1369" s="2">
        <v>1446.78436045437</v>
      </c>
    </row>
    <row r="1370" spans="1:8" x14ac:dyDescent="0.3">
      <c r="A1370" t="s">
        <v>1438</v>
      </c>
      <c r="B1370" t="s">
        <v>29</v>
      </c>
      <c r="C1370">
        <v>28</v>
      </c>
      <c r="D1370" t="s">
        <v>17</v>
      </c>
      <c r="E1370" t="str">
        <f ca="1">IF(Table1[[#This Row],[is_smoker]]=0,"non-smoker","smoker")</f>
        <v>non-smoker</v>
      </c>
      <c r="F1370" t="s">
        <v>56</v>
      </c>
      <c r="G1370" s="2">
        <v>0.19512195121951201</v>
      </c>
      <c r="H1370" s="2">
        <v>579.23215525711896</v>
      </c>
    </row>
    <row r="1371" spans="1:8" x14ac:dyDescent="0.3">
      <c r="A1371" t="s">
        <v>1439</v>
      </c>
      <c r="B1371" t="s">
        <v>60</v>
      </c>
      <c r="C1371">
        <v>53</v>
      </c>
      <c r="D1371" t="s">
        <v>17</v>
      </c>
      <c r="E1371" t="str">
        <f ca="1">IF(Table1[[#This Row],[is_smoker]]=0,"non-smoker","smoker")</f>
        <v>non-smoker</v>
      </c>
      <c r="F1371" t="s">
        <v>19</v>
      </c>
      <c r="G1371" s="2">
        <v>1.11788617886178</v>
      </c>
      <c r="H1371" s="2">
        <v>2776.9785648348202</v>
      </c>
    </row>
    <row r="1372" spans="1:8" x14ac:dyDescent="0.3">
      <c r="A1372" t="s">
        <v>1440</v>
      </c>
      <c r="B1372" t="s">
        <v>13</v>
      </c>
      <c r="C1372">
        <v>47</v>
      </c>
      <c r="D1372" t="s">
        <v>17</v>
      </c>
      <c r="E1372" t="str">
        <f ca="1">IF(Table1[[#This Row],[is_smoker]]=0,"non-smoker","smoker")</f>
        <v>non-smoker</v>
      </c>
      <c r="F1372" t="s">
        <v>61</v>
      </c>
      <c r="G1372" s="2">
        <v>1.61788617886178</v>
      </c>
      <c r="H1372" s="2">
        <v>4194.6148288164704</v>
      </c>
    </row>
    <row r="1373" spans="1:8" x14ac:dyDescent="0.3">
      <c r="A1373" t="s">
        <v>1441</v>
      </c>
      <c r="B1373" t="s">
        <v>60</v>
      </c>
      <c r="C1373">
        <v>30</v>
      </c>
      <c r="D1373" t="s">
        <v>17</v>
      </c>
      <c r="E1373" t="str">
        <f ca="1">IF(Table1[[#This Row],[is_smoker]]=0,"non-smoker","smoker")</f>
        <v>non-smoker</v>
      </c>
      <c r="F1373" t="s">
        <v>56</v>
      </c>
      <c r="G1373" s="2">
        <v>0.19512195121951201</v>
      </c>
      <c r="H1373" s="2">
        <v>571.03527323674996</v>
      </c>
    </row>
    <row r="1374" spans="1:8" x14ac:dyDescent="0.3">
      <c r="A1374" t="s">
        <v>1442</v>
      </c>
      <c r="B1374" t="s">
        <v>245</v>
      </c>
      <c r="C1374">
        <v>47</v>
      </c>
      <c r="D1374" t="s">
        <v>10</v>
      </c>
      <c r="E1374" t="str">
        <f ca="1">IF(Table1[[#This Row],[is_smoker]]=0,"non-smoker","smoker")</f>
        <v>non-smoker</v>
      </c>
      <c r="F1374" t="s">
        <v>61</v>
      </c>
      <c r="G1374" s="2">
        <v>1.61788617886178</v>
      </c>
      <c r="H1374" s="2">
        <v>1457.13123943752</v>
      </c>
    </row>
    <row r="1375" spans="1:8" x14ac:dyDescent="0.3">
      <c r="A1375" t="s">
        <v>1443</v>
      </c>
      <c r="B1375" t="s">
        <v>85</v>
      </c>
      <c r="C1375">
        <v>37</v>
      </c>
      <c r="D1375" t="s">
        <v>10</v>
      </c>
      <c r="E1375" t="str">
        <f ca="1">IF(Table1[[#This Row],[is_smoker]]=0,"non-smoker","smoker")</f>
        <v>non-smoker</v>
      </c>
      <c r="F1375" t="s">
        <v>2004</v>
      </c>
      <c r="G1375" s="2">
        <v>1.2073170731707299</v>
      </c>
      <c r="H1375" s="2">
        <v>1167.67150787123</v>
      </c>
    </row>
    <row r="1376" spans="1:8" x14ac:dyDescent="0.3">
      <c r="A1376" t="s">
        <v>1444</v>
      </c>
      <c r="B1376" t="s">
        <v>23</v>
      </c>
      <c r="C1376">
        <v>23</v>
      </c>
      <c r="D1376" t="s">
        <v>17</v>
      </c>
      <c r="E1376" t="str">
        <f ca="1">IF(Table1[[#This Row],[is_smoker]]=0,"non-smoker","smoker")</f>
        <v>smoker</v>
      </c>
      <c r="F1376" t="s">
        <v>14</v>
      </c>
      <c r="G1376" s="2">
        <v>0.66666666666666596</v>
      </c>
      <c r="H1376" s="2">
        <v>2202.4051009407499</v>
      </c>
    </row>
    <row r="1377" spans="1:8" x14ac:dyDescent="0.3">
      <c r="A1377" t="s">
        <v>1445</v>
      </c>
      <c r="B1377" t="s">
        <v>33</v>
      </c>
      <c r="C1377">
        <v>33</v>
      </c>
      <c r="D1377" t="s">
        <v>17</v>
      </c>
      <c r="E1377" t="str">
        <f ca="1">IF(Table1[[#This Row],[is_smoker]]=0,"non-smoker","smoker")</f>
        <v>non-smoker</v>
      </c>
      <c r="F1377" t="s">
        <v>24</v>
      </c>
      <c r="G1377" s="2">
        <v>1.70325203252032</v>
      </c>
      <c r="H1377" s="2">
        <v>4879.2281986103399</v>
      </c>
    </row>
    <row r="1378" spans="1:8" x14ac:dyDescent="0.3">
      <c r="A1378" t="s">
        <v>1446</v>
      </c>
      <c r="B1378" t="s">
        <v>65</v>
      </c>
      <c r="C1378">
        <v>29</v>
      </c>
      <c r="D1378" t="s">
        <v>10</v>
      </c>
      <c r="E1378" t="str">
        <f ca="1">IF(Table1[[#This Row],[is_smoker]]=0,"non-smoker","smoker")</f>
        <v>non-smoker</v>
      </c>
      <c r="F1378" t="s">
        <v>19</v>
      </c>
      <c r="G1378" s="2">
        <v>1.11788617886178</v>
      </c>
      <c r="H1378" s="2">
        <v>1144.6055230537299</v>
      </c>
    </row>
    <row r="1379" spans="1:8" x14ac:dyDescent="0.3">
      <c r="A1379" t="s">
        <v>1447</v>
      </c>
      <c r="B1379" t="s">
        <v>33</v>
      </c>
      <c r="C1379">
        <v>57</v>
      </c>
      <c r="D1379" t="s">
        <v>17</v>
      </c>
      <c r="E1379" t="str">
        <f ca="1">IF(Table1[[#This Row],[is_smoker]]=0,"non-smoker","smoker")</f>
        <v>non-smoker</v>
      </c>
      <c r="F1379" t="s">
        <v>19</v>
      </c>
      <c r="G1379" s="2">
        <v>1.11788617886178</v>
      </c>
      <c r="H1379" s="2">
        <v>2698.9390235779802</v>
      </c>
    </row>
    <row r="1380" spans="1:8" x14ac:dyDescent="0.3">
      <c r="A1380" t="s">
        <v>1448</v>
      </c>
      <c r="B1380" t="s">
        <v>29</v>
      </c>
      <c r="C1380">
        <v>40</v>
      </c>
      <c r="D1380" t="s">
        <v>17</v>
      </c>
      <c r="E1380" t="str">
        <f ca="1">IF(Table1[[#This Row],[is_smoker]]=0,"non-smoker","smoker")</f>
        <v>non-smoker</v>
      </c>
      <c r="F1380" t="s">
        <v>44</v>
      </c>
      <c r="G1380" s="2">
        <v>1.1341463414634101</v>
      </c>
      <c r="H1380" s="2">
        <v>3090.8452721904</v>
      </c>
    </row>
    <row r="1381" spans="1:8" x14ac:dyDescent="0.3">
      <c r="A1381" t="s">
        <v>1449</v>
      </c>
      <c r="B1381" t="s">
        <v>78</v>
      </c>
      <c r="C1381">
        <v>50</v>
      </c>
      <c r="D1381" t="s">
        <v>17</v>
      </c>
      <c r="E1381" t="str">
        <f ca="1">IF(Table1[[#This Row],[is_smoker]]=0,"non-smoker","smoker")</f>
        <v>non-smoker</v>
      </c>
      <c r="F1381" t="s">
        <v>11</v>
      </c>
      <c r="G1381" s="2">
        <v>1.1544715447154399</v>
      </c>
      <c r="H1381" s="2">
        <v>2929.8323146885</v>
      </c>
    </row>
    <row r="1382" spans="1:8" x14ac:dyDescent="0.3">
      <c r="A1382" t="s">
        <v>1450</v>
      </c>
      <c r="B1382" t="s">
        <v>43</v>
      </c>
      <c r="C1382">
        <v>51</v>
      </c>
      <c r="D1382" t="s">
        <v>17</v>
      </c>
      <c r="E1382" t="str">
        <f ca="1">IF(Table1[[#This Row],[is_smoker]]=0,"non-smoker","smoker")</f>
        <v>non-smoker</v>
      </c>
      <c r="F1382" t="s">
        <v>2004</v>
      </c>
      <c r="G1382" s="2">
        <v>1.2073170731707299</v>
      </c>
      <c r="H1382" s="2">
        <v>3042.1877298442</v>
      </c>
    </row>
    <row r="1383" spans="1:8" x14ac:dyDescent="0.3">
      <c r="A1383" t="s">
        <v>1451</v>
      </c>
      <c r="B1383" t="s">
        <v>63</v>
      </c>
      <c r="C1383">
        <v>18</v>
      </c>
      <c r="D1383" t="s">
        <v>17</v>
      </c>
      <c r="E1383" t="str">
        <f ca="1">IF(Table1[[#This Row],[is_smoker]]=0,"non-smoker","smoker")</f>
        <v>non-smoker</v>
      </c>
      <c r="F1383" t="s">
        <v>2004</v>
      </c>
      <c r="G1383" s="2">
        <v>1.2073170731707299</v>
      </c>
      <c r="H1383" s="2">
        <v>3848.7217297352099</v>
      </c>
    </row>
    <row r="1384" spans="1:8" x14ac:dyDescent="0.3">
      <c r="A1384" t="s">
        <v>1452</v>
      </c>
      <c r="B1384" t="s">
        <v>13</v>
      </c>
      <c r="C1384">
        <v>45</v>
      </c>
      <c r="D1384" t="s">
        <v>17</v>
      </c>
      <c r="E1384" t="str">
        <f ca="1">IF(Table1[[#This Row],[is_smoker]]=0,"non-smoker","smoker")</f>
        <v>non-smoker</v>
      </c>
      <c r="F1384" t="s">
        <v>48</v>
      </c>
      <c r="G1384" s="2">
        <v>0.46341463414634099</v>
      </c>
      <c r="H1384" s="2">
        <v>1218.7190352636801</v>
      </c>
    </row>
    <row r="1385" spans="1:8" x14ac:dyDescent="0.3">
      <c r="A1385" t="s">
        <v>1453</v>
      </c>
      <c r="B1385" t="s">
        <v>192</v>
      </c>
      <c r="C1385">
        <v>43</v>
      </c>
      <c r="D1385" t="s">
        <v>10</v>
      </c>
      <c r="E1385" t="str">
        <f ca="1">IF(Table1[[#This Row],[is_smoker]]=0,"non-smoker","smoker")</f>
        <v>non-smoker</v>
      </c>
      <c r="F1385" t="s">
        <v>61</v>
      </c>
      <c r="G1385" s="2">
        <v>1.61788617886178</v>
      </c>
      <c r="H1385" s="2">
        <v>1499.2640377272601</v>
      </c>
    </row>
    <row r="1386" spans="1:8" x14ac:dyDescent="0.3">
      <c r="A1386" t="s">
        <v>1454</v>
      </c>
      <c r="B1386" t="s">
        <v>16</v>
      </c>
      <c r="C1386">
        <v>45</v>
      </c>
      <c r="D1386" t="s">
        <v>17</v>
      </c>
      <c r="E1386" t="str">
        <f ca="1">IF(Table1[[#This Row],[is_smoker]]=0,"non-smoker","smoker")</f>
        <v>non-smoker</v>
      </c>
      <c r="F1386" t="s">
        <v>11</v>
      </c>
      <c r="G1386" s="2">
        <v>1.1544715447154399</v>
      </c>
      <c r="H1386" s="2">
        <v>3036.10707030601</v>
      </c>
    </row>
    <row r="1387" spans="1:8" x14ac:dyDescent="0.3">
      <c r="A1387" t="s">
        <v>1455</v>
      </c>
      <c r="B1387" t="s">
        <v>43</v>
      </c>
      <c r="C1387">
        <v>55</v>
      </c>
      <c r="D1387" t="s">
        <v>10</v>
      </c>
      <c r="E1387" t="str">
        <f ca="1">IF(Table1[[#This Row],[is_smoker]]=0,"non-smoker","smoker")</f>
        <v>non-smoker</v>
      </c>
      <c r="F1387" t="s">
        <v>14</v>
      </c>
      <c r="G1387" s="2">
        <v>0.66666666666666596</v>
      </c>
      <c r="H1387" s="2">
        <v>567.153394370569</v>
      </c>
    </row>
    <row r="1388" spans="1:8" x14ac:dyDescent="0.3">
      <c r="A1388" t="s">
        <v>1456</v>
      </c>
      <c r="B1388" t="s">
        <v>13</v>
      </c>
      <c r="C1388">
        <v>22</v>
      </c>
      <c r="D1388" t="s">
        <v>10</v>
      </c>
      <c r="E1388" t="str">
        <f ca="1">IF(Table1[[#This Row],[is_smoker]]=0,"non-smoker","smoker")</f>
        <v>non-smoker</v>
      </c>
      <c r="F1388" t="s">
        <v>14</v>
      </c>
      <c r="G1388" s="2">
        <v>0.66666666666666596</v>
      </c>
      <c r="H1388" s="2">
        <v>717.51508678883795</v>
      </c>
    </row>
    <row r="1389" spans="1:8" x14ac:dyDescent="0.3">
      <c r="A1389" t="s">
        <v>1457</v>
      </c>
      <c r="B1389" t="s">
        <v>113</v>
      </c>
      <c r="C1389">
        <v>57</v>
      </c>
      <c r="D1389" t="s">
        <v>10</v>
      </c>
      <c r="E1389" t="str">
        <f ca="1">IF(Table1[[#This Row],[is_smoker]]=0,"non-smoker","smoker")</f>
        <v>non-smoker</v>
      </c>
      <c r="F1389" t="s">
        <v>2004</v>
      </c>
      <c r="G1389" s="2">
        <v>1.2073170731707299</v>
      </c>
      <c r="H1389" s="2">
        <v>1012.56616092168</v>
      </c>
    </row>
    <row r="1390" spans="1:8" x14ac:dyDescent="0.3">
      <c r="A1390" t="s">
        <v>1458</v>
      </c>
      <c r="B1390" t="s">
        <v>13</v>
      </c>
      <c r="C1390">
        <v>45</v>
      </c>
      <c r="D1390" t="s">
        <v>17</v>
      </c>
      <c r="E1390" t="str">
        <f ca="1">IF(Table1[[#This Row],[is_smoker]]=0,"non-smoker","smoker")</f>
        <v>non-smoker</v>
      </c>
      <c r="F1390" t="s">
        <v>14</v>
      </c>
      <c r="G1390" s="2">
        <v>0.66666666666666596</v>
      </c>
      <c r="H1390" s="2">
        <v>1753.2449279231801</v>
      </c>
    </row>
    <row r="1391" spans="1:8" x14ac:dyDescent="0.3">
      <c r="A1391" t="s">
        <v>1459</v>
      </c>
      <c r="B1391" t="s">
        <v>50</v>
      </c>
      <c r="C1391">
        <v>29</v>
      </c>
      <c r="D1391" t="s">
        <v>10</v>
      </c>
      <c r="E1391" t="str">
        <f ca="1">IF(Table1[[#This Row],[is_smoker]]=0,"non-smoker","smoker")</f>
        <v>non-smoker</v>
      </c>
      <c r="F1391" t="s">
        <v>44</v>
      </c>
      <c r="G1391" s="2">
        <v>1.1341463414634101</v>
      </c>
      <c r="H1391" s="2">
        <v>1161.2543306617799</v>
      </c>
    </row>
    <row r="1392" spans="1:8" x14ac:dyDescent="0.3">
      <c r="A1392" t="s">
        <v>1460</v>
      </c>
      <c r="B1392" t="s">
        <v>85</v>
      </c>
      <c r="C1392">
        <v>57</v>
      </c>
      <c r="D1392" t="s">
        <v>17</v>
      </c>
      <c r="E1392" t="str">
        <f ca="1">IF(Table1[[#This Row],[is_smoker]]=0,"non-smoker","smoker")</f>
        <v>non-smoker</v>
      </c>
      <c r="F1392" t="s">
        <v>19</v>
      </c>
      <c r="G1392" s="2">
        <v>1.11788617886178</v>
      </c>
      <c r="H1392" s="2">
        <v>2698.9390235779802</v>
      </c>
    </row>
    <row r="1393" spans="1:8" x14ac:dyDescent="0.3">
      <c r="A1393" t="s">
        <v>1461</v>
      </c>
      <c r="B1393" t="s">
        <v>13</v>
      </c>
      <c r="C1393">
        <v>48</v>
      </c>
      <c r="D1393" t="s">
        <v>17</v>
      </c>
      <c r="E1393" t="str">
        <f ca="1">IF(Table1[[#This Row],[is_smoker]]=0,"non-smoker","smoker")</f>
        <v>non-smoker</v>
      </c>
      <c r="F1393" t="s">
        <v>27</v>
      </c>
      <c r="G1393" s="2">
        <v>0.53252032520325199</v>
      </c>
      <c r="H1393" s="2">
        <v>1370.8358316609399</v>
      </c>
    </row>
    <row r="1394" spans="1:8" x14ac:dyDescent="0.3">
      <c r="A1394" t="s">
        <v>1462</v>
      </c>
      <c r="B1394" t="s">
        <v>82</v>
      </c>
      <c r="C1394">
        <v>31</v>
      </c>
      <c r="D1394" t="s">
        <v>10</v>
      </c>
      <c r="E1394" t="str">
        <f ca="1">IF(Table1[[#This Row],[is_smoker]]=0,"non-smoker","smoker")</f>
        <v>non-smoker</v>
      </c>
      <c r="F1394" t="s">
        <v>24</v>
      </c>
      <c r="G1394" s="2">
        <v>1.70325203252032</v>
      </c>
      <c r="H1394" s="2">
        <v>1719.2832770451801</v>
      </c>
    </row>
    <row r="1395" spans="1:8" x14ac:dyDescent="0.3">
      <c r="A1395" t="s">
        <v>1463</v>
      </c>
      <c r="B1395" t="s">
        <v>37</v>
      </c>
      <c r="C1395">
        <v>27</v>
      </c>
      <c r="D1395" t="s">
        <v>17</v>
      </c>
      <c r="E1395" t="str">
        <f ca="1">IF(Table1[[#This Row],[is_smoker]]=0,"non-smoker","smoker")</f>
        <v>non-smoker</v>
      </c>
      <c r="F1395" t="s">
        <v>48</v>
      </c>
      <c r="G1395" s="2">
        <v>0.46341463414634099</v>
      </c>
      <c r="H1395" s="2">
        <v>1385.51470905529</v>
      </c>
    </row>
    <row r="1396" spans="1:8" x14ac:dyDescent="0.3">
      <c r="A1396" t="s">
        <v>1464</v>
      </c>
      <c r="B1396" t="s">
        <v>60</v>
      </c>
      <c r="C1396">
        <v>21</v>
      </c>
      <c r="D1396" t="s">
        <v>10</v>
      </c>
      <c r="E1396" t="str">
        <f ca="1">IF(Table1[[#This Row],[is_smoker]]=0,"non-smoker","smoker")</f>
        <v>non-smoker</v>
      </c>
      <c r="F1396" t="s">
        <v>61</v>
      </c>
      <c r="G1396" s="2">
        <v>1.61788617886178</v>
      </c>
      <c r="H1396" s="2">
        <v>1753.7396657427601</v>
      </c>
    </row>
    <row r="1397" spans="1:8" x14ac:dyDescent="0.3">
      <c r="A1397" t="s">
        <v>1465</v>
      </c>
      <c r="B1397" t="s">
        <v>23</v>
      </c>
      <c r="C1397">
        <v>29</v>
      </c>
      <c r="D1397" t="s">
        <v>17</v>
      </c>
      <c r="E1397" t="str">
        <f ca="1">IF(Table1[[#This Row],[is_smoker]]=0,"non-smoker","smoker")</f>
        <v>non-smoker</v>
      </c>
      <c r="F1397" t="s">
        <v>24</v>
      </c>
      <c r="G1397" s="2">
        <v>1.70325203252032</v>
      </c>
      <c r="H1397" s="2">
        <v>5020.3105746776</v>
      </c>
    </row>
    <row r="1398" spans="1:8" x14ac:dyDescent="0.3">
      <c r="A1398" t="s">
        <v>1466</v>
      </c>
      <c r="B1398" t="s">
        <v>178</v>
      </c>
      <c r="C1398">
        <v>30</v>
      </c>
      <c r="D1398" t="s">
        <v>10</v>
      </c>
      <c r="E1398" t="str">
        <f ca="1">IF(Table1[[#This Row],[is_smoker]]=0,"non-smoker","smoker")</f>
        <v>non-smoker</v>
      </c>
      <c r="F1398" t="s">
        <v>61</v>
      </c>
      <c r="G1398" s="2">
        <v>1.61788617886178</v>
      </c>
      <c r="H1398" s="2">
        <v>1644.7933889922399</v>
      </c>
    </row>
    <row r="1399" spans="1:8" x14ac:dyDescent="0.3">
      <c r="A1399" t="s">
        <v>1467</v>
      </c>
      <c r="B1399" t="s">
        <v>63</v>
      </c>
      <c r="C1399">
        <v>26</v>
      </c>
      <c r="D1399" t="s">
        <v>17</v>
      </c>
      <c r="E1399" t="str">
        <f ca="1">IF(Table1[[#This Row],[is_smoker]]=0,"non-smoker","smoker")</f>
        <v>non-smoker</v>
      </c>
      <c r="F1399" t="s">
        <v>56</v>
      </c>
      <c r="G1399" s="2">
        <v>0.19512195121951201</v>
      </c>
      <c r="H1399" s="2">
        <v>587.54669879159405</v>
      </c>
    </row>
    <row r="1400" spans="1:8" x14ac:dyDescent="0.3">
      <c r="A1400" t="s">
        <v>1468</v>
      </c>
      <c r="B1400" t="s">
        <v>938</v>
      </c>
      <c r="C1400">
        <v>30</v>
      </c>
      <c r="D1400" t="s">
        <v>17</v>
      </c>
      <c r="E1400" t="str">
        <f ca="1">IF(Table1[[#This Row],[is_smoker]]=0,"non-smoker","smoker")</f>
        <v>non-smoker</v>
      </c>
      <c r="F1400" t="s">
        <v>24</v>
      </c>
      <c r="G1400" s="2">
        <v>1.70325203252032</v>
      </c>
      <c r="H1400" s="2">
        <v>4984.6620726291303</v>
      </c>
    </row>
    <row r="1401" spans="1:8" x14ac:dyDescent="0.3">
      <c r="A1401" t="s">
        <v>1469</v>
      </c>
      <c r="B1401" t="s">
        <v>16</v>
      </c>
      <c r="C1401">
        <v>50</v>
      </c>
      <c r="D1401" t="s">
        <v>17</v>
      </c>
      <c r="E1401" t="str">
        <f ca="1">IF(Table1[[#This Row],[is_smoker]]=0,"non-smoker","smoker")</f>
        <v>non-smoker</v>
      </c>
      <c r="F1401" t="s">
        <v>27</v>
      </c>
      <c r="G1401" s="2">
        <v>0.53252032520325199</v>
      </c>
      <c r="H1401" s="2">
        <v>1351.4367367049001</v>
      </c>
    </row>
    <row r="1402" spans="1:8" x14ac:dyDescent="0.3">
      <c r="A1402" t="s">
        <v>1470</v>
      </c>
      <c r="B1402" t="s">
        <v>29</v>
      </c>
      <c r="C1402">
        <v>49</v>
      </c>
      <c r="D1402" t="s">
        <v>17</v>
      </c>
      <c r="E1402" t="str">
        <f ca="1">IF(Table1[[#This Row],[is_smoker]]=0,"non-smoker","smoker")</f>
        <v>non-smoker</v>
      </c>
      <c r="F1402" t="s">
        <v>2004</v>
      </c>
      <c r="G1402" s="2">
        <v>1.2073170731707299</v>
      </c>
      <c r="H1402" s="2">
        <v>3085.8565802183698</v>
      </c>
    </row>
    <row r="1403" spans="1:8" x14ac:dyDescent="0.3">
      <c r="A1403" t="s">
        <v>1471</v>
      </c>
      <c r="B1403" t="s">
        <v>60</v>
      </c>
      <c r="C1403">
        <v>62</v>
      </c>
      <c r="D1403" t="s">
        <v>17</v>
      </c>
      <c r="E1403" t="str">
        <f ca="1">IF(Table1[[#This Row],[is_smoker]]=0,"non-smoker","smoker")</f>
        <v>non-smoker</v>
      </c>
      <c r="F1403" t="s">
        <v>44</v>
      </c>
      <c r="G1403" s="2">
        <v>1.1341463414634101</v>
      </c>
      <c r="H1403" s="2">
        <v>2642.3495193123499</v>
      </c>
    </row>
    <row r="1404" spans="1:8" x14ac:dyDescent="0.3">
      <c r="A1404" t="s">
        <v>1472</v>
      </c>
      <c r="B1404" t="s">
        <v>50</v>
      </c>
      <c r="C1404">
        <v>47</v>
      </c>
      <c r="D1404" t="s">
        <v>10</v>
      </c>
      <c r="E1404" t="str">
        <f ca="1">IF(Table1[[#This Row],[is_smoker]]=0,"non-smoker","smoker")</f>
        <v>non-smoker</v>
      </c>
      <c r="F1404" t="s">
        <v>19</v>
      </c>
      <c r="G1404" s="2">
        <v>1.11788617886178</v>
      </c>
      <c r="H1404" s="2">
        <v>1006.81178604351</v>
      </c>
    </row>
    <row r="1405" spans="1:8" x14ac:dyDescent="0.3">
      <c r="A1405" t="s">
        <v>1473</v>
      </c>
      <c r="B1405" t="s">
        <v>113</v>
      </c>
      <c r="C1405">
        <v>52</v>
      </c>
      <c r="D1405" t="s">
        <v>10</v>
      </c>
      <c r="E1405" t="str">
        <f ca="1">IF(Table1[[#This Row],[is_smoker]]=0,"non-smoker","smoker")</f>
        <v>non-smoker</v>
      </c>
      <c r="F1405" t="s">
        <v>19</v>
      </c>
      <c r="G1405" s="2">
        <v>1.11788617886178</v>
      </c>
      <c r="H1405" s="2">
        <v>971.56972308694696</v>
      </c>
    </row>
    <row r="1406" spans="1:8" x14ac:dyDescent="0.3">
      <c r="A1406" t="s">
        <v>1474</v>
      </c>
      <c r="B1406" t="s">
        <v>192</v>
      </c>
      <c r="C1406">
        <v>29</v>
      </c>
      <c r="D1406" t="s">
        <v>17</v>
      </c>
      <c r="E1406" t="str">
        <f ca="1">IF(Table1[[#This Row],[is_smoker]]=0,"non-smoker","smoker")</f>
        <v>non-smoker</v>
      </c>
      <c r="F1406" t="s">
        <v>44</v>
      </c>
      <c r="G1406" s="2">
        <v>1.1341463414634101</v>
      </c>
      <c r="H1406" s="2">
        <v>3342.8798337352</v>
      </c>
    </row>
    <row r="1407" spans="1:8" x14ac:dyDescent="0.3">
      <c r="A1407" t="s">
        <v>1475</v>
      </c>
      <c r="B1407" t="s">
        <v>33</v>
      </c>
      <c r="C1407">
        <v>39</v>
      </c>
      <c r="D1407" t="s">
        <v>17</v>
      </c>
      <c r="E1407" t="str">
        <f ca="1">IF(Table1[[#This Row],[is_smoker]]=0,"non-smoker","smoker")</f>
        <v>non-smoker</v>
      </c>
      <c r="F1407" t="s">
        <v>11</v>
      </c>
      <c r="G1407" s="2">
        <v>1.1544715447154399</v>
      </c>
      <c r="H1407" s="2">
        <v>3168.73751304189</v>
      </c>
    </row>
    <row r="1408" spans="1:8" x14ac:dyDescent="0.3">
      <c r="A1408" t="s">
        <v>1476</v>
      </c>
      <c r="B1408" t="s">
        <v>29</v>
      </c>
      <c r="C1408">
        <v>53</v>
      </c>
      <c r="D1408" t="s">
        <v>17</v>
      </c>
      <c r="E1408" t="str">
        <f ca="1">IF(Table1[[#This Row],[is_smoker]]=0,"non-smoker","smoker")</f>
        <v>non-smoker</v>
      </c>
      <c r="F1408" t="s">
        <v>56</v>
      </c>
      <c r="G1408" s="2">
        <v>0.19512195121951201</v>
      </c>
      <c r="H1408" s="2">
        <v>484.70898586207898</v>
      </c>
    </row>
    <row r="1409" spans="1:8" x14ac:dyDescent="0.3">
      <c r="A1409" t="s">
        <v>1477</v>
      </c>
      <c r="B1409" t="s">
        <v>170</v>
      </c>
      <c r="C1409">
        <v>18</v>
      </c>
      <c r="D1409" t="s">
        <v>10</v>
      </c>
      <c r="E1409" t="str">
        <f ca="1">IF(Table1[[#This Row],[is_smoker]]=0,"non-smoker","smoker")</f>
        <v>non-smoker</v>
      </c>
      <c r="F1409" t="s">
        <v>61</v>
      </c>
      <c r="G1409" s="2">
        <v>1.61788617886178</v>
      </c>
      <c r="H1409" s="2">
        <v>1791.6357344349999</v>
      </c>
    </row>
    <row r="1410" spans="1:8" x14ac:dyDescent="0.3">
      <c r="A1410" t="s">
        <v>1478</v>
      </c>
      <c r="B1410" t="s">
        <v>201</v>
      </c>
      <c r="C1410">
        <v>38</v>
      </c>
      <c r="D1410" t="s">
        <v>10</v>
      </c>
      <c r="E1410" t="str">
        <f ca="1">IF(Table1[[#This Row],[is_smoker]]=0,"non-smoker","smoker")</f>
        <v>non-smoker</v>
      </c>
      <c r="F1410" t="s">
        <v>27</v>
      </c>
      <c r="G1410" s="2">
        <v>0.53252032520325199</v>
      </c>
      <c r="H1410" s="2">
        <v>511.37638160394698</v>
      </c>
    </row>
    <row r="1411" spans="1:8" x14ac:dyDescent="0.3">
      <c r="A1411" t="s">
        <v>1479</v>
      </c>
      <c r="B1411" t="s">
        <v>16</v>
      </c>
      <c r="C1411">
        <v>51</v>
      </c>
      <c r="D1411" t="s">
        <v>17</v>
      </c>
      <c r="E1411" t="str">
        <f ca="1">IF(Table1[[#This Row],[is_smoker]]=0,"non-smoker","smoker")</f>
        <v>non-smoker</v>
      </c>
      <c r="F1411" t="s">
        <v>14</v>
      </c>
      <c r="G1411" s="2">
        <v>0.66666666666666596</v>
      </c>
      <c r="H1411" s="2">
        <v>1679.8612380284401</v>
      </c>
    </row>
    <row r="1412" spans="1:8" x14ac:dyDescent="0.3">
      <c r="A1412" t="s">
        <v>1480</v>
      </c>
      <c r="B1412" t="s">
        <v>13</v>
      </c>
      <c r="C1412">
        <v>31</v>
      </c>
      <c r="D1412" t="s">
        <v>17</v>
      </c>
      <c r="E1412" t="str">
        <f ca="1">IF(Table1[[#This Row],[is_smoker]]=0,"non-smoker","smoker")</f>
        <v>non-smoker</v>
      </c>
      <c r="F1412" t="s">
        <v>24</v>
      </c>
      <c r="G1412" s="2">
        <v>1.70325203252032</v>
      </c>
      <c r="H1412" s="2">
        <v>4949.2667054573503</v>
      </c>
    </row>
    <row r="1413" spans="1:8" x14ac:dyDescent="0.3">
      <c r="A1413" t="s">
        <v>1481</v>
      </c>
      <c r="B1413" t="s">
        <v>46</v>
      </c>
      <c r="C1413">
        <v>23</v>
      </c>
      <c r="D1413" t="s">
        <v>10</v>
      </c>
      <c r="E1413" t="str">
        <f ca="1">IF(Table1[[#This Row],[is_smoker]]=0,"non-smoker","smoker")</f>
        <v>non-smoker</v>
      </c>
      <c r="F1413" t="s">
        <v>56</v>
      </c>
      <c r="G1413" s="2">
        <v>0.19512195121951201</v>
      </c>
      <c r="H1413" s="2">
        <v>208.51320454811801</v>
      </c>
    </row>
    <row r="1414" spans="1:8" x14ac:dyDescent="0.3">
      <c r="A1414" t="s">
        <v>1482</v>
      </c>
      <c r="B1414" t="s">
        <v>29</v>
      </c>
      <c r="C1414">
        <v>42</v>
      </c>
      <c r="D1414" t="s">
        <v>10</v>
      </c>
      <c r="E1414" t="str">
        <f ca="1">IF(Table1[[#This Row],[is_smoker]]=0,"non-smoker","smoker")</f>
        <v>non-smoker</v>
      </c>
      <c r="F1414" t="s">
        <v>24</v>
      </c>
      <c r="G1414" s="2">
        <v>1.70325203252032</v>
      </c>
      <c r="H1414" s="2">
        <v>1589.6588728029201</v>
      </c>
    </row>
    <row r="1415" spans="1:8" x14ac:dyDescent="0.3">
      <c r="A1415" t="s">
        <v>1483</v>
      </c>
      <c r="B1415" t="s">
        <v>113</v>
      </c>
      <c r="C1415">
        <v>50</v>
      </c>
      <c r="D1415" t="s">
        <v>17</v>
      </c>
      <c r="E1415" t="str">
        <f ca="1">IF(Table1[[#This Row],[is_smoker]]=0,"non-smoker","smoker")</f>
        <v>non-smoker</v>
      </c>
      <c r="F1415" t="s">
        <v>27</v>
      </c>
      <c r="G1415" s="2">
        <v>0.53252032520325199</v>
      </c>
      <c r="H1415" s="2">
        <v>1351.4367367049001</v>
      </c>
    </row>
    <row r="1416" spans="1:8" x14ac:dyDescent="0.3">
      <c r="A1416" t="s">
        <v>1484</v>
      </c>
      <c r="B1416" t="s">
        <v>43</v>
      </c>
      <c r="C1416">
        <v>46</v>
      </c>
      <c r="D1416" t="s">
        <v>10</v>
      </c>
      <c r="E1416" t="str">
        <f ca="1">IF(Table1[[#This Row],[is_smoker]]=0,"non-smoker","smoker")</f>
        <v>non-smoker</v>
      </c>
      <c r="F1416" t="s">
        <v>48</v>
      </c>
      <c r="G1416" s="2">
        <v>0.46341463414634099</v>
      </c>
      <c r="H1416" s="2">
        <v>420.35412355251702</v>
      </c>
    </row>
    <row r="1417" spans="1:8" x14ac:dyDescent="0.3">
      <c r="A1417" t="s">
        <v>1485</v>
      </c>
      <c r="B1417" t="s">
        <v>16</v>
      </c>
      <c r="C1417">
        <v>48</v>
      </c>
      <c r="D1417" t="s">
        <v>17</v>
      </c>
      <c r="E1417" t="str">
        <f ca="1">IF(Table1[[#This Row],[is_smoker]]=0,"non-smoker","smoker")</f>
        <v>non-smoker</v>
      </c>
      <c r="F1417" t="s">
        <v>48</v>
      </c>
      <c r="G1417" s="2">
        <v>0.46341463414634099</v>
      </c>
      <c r="H1417" s="2">
        <v>1192.94110541486</v>
      </c>
    </row>
    <row r="1418" spans="1:8" x14ac:dyDescent="0.3">
      <c r="A1418" t="s">
        <v>1486</v>
      </c>
      <c r="B1418" t="s">
        <v>29</v>
      </c>
      <c r="C1418">
        <v>28</v>
      </c>
      <c r="D1418" t="s">
        <v>10</v>
      </c>
      <c r="E1418" t="str">
        <f ca="1">IF(Table1[[#This Row],[is_smoker]]=0,"non-smoker","smoker")</f>
        <v>non-smoker</v>
      </c>
      <c r="F1418" t="s">
        <v>56</v>
      </c>
      <c r="G1418" s="2">
        <v>0.19512195121951201</v>
      </c>
      <c r="H1418" s="2">
        <v>201.21448637276001</v>
      </c>
    </row>
    <row r="1419" spans="1:8" x14ac:dyDescent="0.3">
      <c r="A1419" t="s">
        <v>1487</v>
      </c>
      <c r="B1419" t="s">
        <v>43</v>
      </c>
      <c r="C1419">
        <v>38</v>
      </c>
      <c r="D1419" t="s">
        <v>17</v>
      </c>
      <c r="E1419" t="str">
        <f ca="1">IF(Table1[[#This Row],[is_smoker]]=0,"non-smoker","smoker")</f>
        <v>non-smoker</v>
      </c>
      <c r="F1419" t="s">
        <v>2004</v>
      </c>
      <c r="G1419" s="2">
        <v>1.2073170731707299</v>
      </c>
      <c r="H1419" s="2">
        <v>3337.4843524602102</v>
      </c>
    </row>
    <row r="1420" spans="1:8" x14ac:dyDescent="0.3">
      <c r="A1420" t="s">
        <v>1488</v>
      </c>
      <c r="B1420" t="s">
        <v>35</v>
      </c>
      <c r="C1420">
        <v>26</v>
      </c>
      <c r="D1420" t="s">
        <v>17</v>
      </c>
      <c r="E1420" t="str">
        <f ca="1">IF(Table1[[#This Row],[is_smoker]]=0,"non-smoker","smoker")</f>
        <v>non-smoker</v>
      </c>
      <c r="F1420" t="s">
        <v>27</v>
      </c>
      <c r="G1420" s="2">
        <v>0.53252032520325199</v>
      </c>
      <c r="H1420" s="2">
        <v>1603.5128654520599</v>
      </c>
    </row>
    <row r="1421" spans="1:8" x14ac:dyDescent="0.3">
      <c r="A1421" t="s">
        <v>1489</v>
      </c>
      <c r="B1421" t="s">
        <v>16</v>
      </c>
      <c r="C1421">
        <v>20</v>
      </c>
      <c r="D1421" t="s">
        <v>10</v>
      </c>
      <c r="E1421" t="str">
        <f ca="1">IF(Table1[[#This Row],[is_smoker]]=0,"non-smoker","smoker")</f>
        <v>non-smoker</v>
      </c>
      <c r="F1421" t="s">
        <v>27</v>
      </c>
      <c r="G1421" s="2">
        <v>0.53252032520325199</v>
      </c>
      <c r="H1421" s="2">
        <v>581.36410286104001</v>
      </c>
    </row>
    <row r="1422" spans="1:8" x14ac:dyDescent="0.3">
      <c r="A1422" t="s">
        <v>1490</v>
      </c>
      <c r="B1422" t="s">
        <v>170</v>
      </c>
      <c r="C1422">
        <v>29</v>
      </c>
      <c r="D1422" t="s">
        <v>17</v>
      </c>
      <c r="E1422" t="str">
        <f ca="1">IF(Table1[[#This Row],[is_smoker]]=0,"non-smoker","smoker")</f>
        <v>non-smoker</v>
      </c>
      <c r="F1422" t="s">
        <v>44</v>
      </c>
      <c r="G1422" s="2">
        <v>1.1341463414634101</v>
      </c>
      <c r="H1422" s="2">
        <v>3342.8798337352</v>
      </c>
    </row>
    <row r="1423" spans="1:8" x14ac:dyDescent="0.3">
      <c r="A1423" t="s">
        <v>1491</v>
      </c>
      <c r="B1423" t="s">
        <v>13</v>
      </c>
      <c r="C1423">
        <v>57</v>
      </c>
      <c r="D1423" t="s">
        <v>10</v>
      </c>
      <c r="E1423" t="str">
        <f ca="1">IF(Table1[[#This Row],[is_smoker]]=0,"non-smoker","smoker")</f>
        <v>non-smoker</v>
      </c>
      <c r="F1423" t="s">
        <v>2004</v>
      </c>
      <c r="G1423" s="2">
        <v>1.2073170731707299</v>
      </c>
      <c r="H1423" s="2">
        <v>1012.56616092168</v>
      </c>
    </row>
    <row r="1424" spans="1:8" x14ac:dyDescent="0.3">
      <c r="A1424" t="s">
        <v>1492</v>
      </c>
      <c r="B1424" t="s">
        <v>46</v>
      </c>
      <c r="C1424">
        <v>54</v>
      </c>
      <c r="D1424" t="s">
        <v>10</v>
      </c>
      <c r="E1424" t="str">
        <f ca="1">IF(Table1[[#This Row],[is_smoker]]=0,"non-smoker","smoker")</f>
        <v>non-smoker</v>
      </c>
      <c r="F1424" t="s">
        <v>61</v>
      </c>
      <c r="G1424" s="2">
        <v>1.61788617886178</v>
      </c>
      <c r="H1424" s="2">
        <v>1386.2278613815899</v>
      </c>
    </row>
    <row r="1425" spans="1:8" x14ac:dyDescent="0.3">
      <c r="A1425" t="s">
        <v>1493</v>
      </c>
      <c r="B1425" t="s">
        <v>33</v>
      </c>
      <c r="C1425">
        <v>39</v>
      </c>
      <c r="D1425" t="s">
        <v>17</v>
      </c>
      <c r="E1425" t="str">
        <f ca="1">IF(Table1[[#This Row],[is_smoker]]=0,"non-smoker","smoker")</f>
        <v>non-smoker</v>
      </c>
      <c r="F1425" t="s">
        <v>61</v>
      </c>
      <c r="G1425" s="2">
        <v>1.61788617886178</v>
      </c>
      <c r="H1425" s="2">
        <v>4440.6955288403997</v>
      </c>
    </row>
    <row r="1426" spans="1:8" x14ac:dyDescent="0.3">
      <c r="A1426" t="s">
        <v>1494</v>
      </c>
      <c r="B1426" t="s">
        <v>157</v>
      </c>
      <c r="C1426">
        <v>26</v>
      </c>
      <c r="D1426" t="s">
        <v>10</v>
      </c>
      <c r="E1426" t="str">
        <f ca="1">IF(Table1[[#This Row],[is_smoker]]=0,"non-smoker","smoker")</f>
        <v>non-smoker</v>
      </c>
      <c r="F1426" t="s">
        <v>14</v>
      </c>
      <c r="G1426" s="2">
        <v>0.66666666666666596</v>
      </c>
      <c r="H1426" s="2">
        <v>697.35124795805496</v>
      </c>
    </row>
    <row r="1427" spans="1:8" x14ac:dyDescent="0.3">
      <c r="A1427" t="s">
        <v>1495</v>
      </c>
      <c r="B1427" t="s">
        <v>201</v>
      </c>
      <c r="C1427">
        <v>52</v>
      </c>
      <c r="D1427" t="s">
        <v>17</v>
      </c>
      <c r="E1427" t="str">
        <f ca="1">IF(Table1[[#This Row],[is_smoker]]=0,"non-smoker","smoker")</f>
        <v>non-smoker</v>
      </c>
      <c r="F1427" t="s">
        <v>19</v>
      </c>
      <c r="G1427" s="2">
        <v>1.11788617886178</v>
      </c>
      <c r="H1427" s="2">
        <v>2796.8385121320898</v>
      </c>
    </row>
    <row r="1428" spans="1:8" x14ac:dyDescent="0.3">
      <c r="A1428" t="s">
        <v>1496</v>
      </c>
      <c r="B1428" t="s">
        <v>43</v>
      </c>
      <c r="C1428">
        <v>63</v>
      </c>
      <c r="D1428" t="s">
        <v>17</v>
      </c>
      <c r="E1428" t="str">
        <f ca="1">IF(Table1[[#This Row],[is_smoker]]=0,"non-smoker","smoker")</f>
        <v>non-smoker</v>
      </c>
      <c r="F1428" t="s">
        <v>48</v>
      </c>
      <c r="G1428" s="2">
        <v>0.46341463414634099</v>
      </c>
      <c r="H1428" s="2">
        <v>1072.00311711361</v>
      </c>
    </row>
    <row r="1429" spans="1:8" x14ac:dyDescent="0.3">
      <c r="A1429" t="s">
        <v>1497</v>
      </c>
      <c r="B1429" t="s">
        <v>472</v>
      </c>
      <c r="C1429">
        <v>20</v>
      </c>
      <c r="D1429" t="s">
        <v>10</v>
      </c>
      <c r="E1429" t="str">
        <f ca="1">IF(Table1[[#This Row],[is_smoker]]=0,"non-smoker","smoker")</f>
        <v>non-smoker</v>
      </c>
      <c r="F1429" t="s">
        <v>61</v>
      </c>
      <c r="G1429" s="2">
        <v>1.61788617886178</v>
      </c>
      <c r="H1429" s="2">
        <v>1766.2817781579699</v>
      </c>
    </row>
    <row r="1430" spans="1:8" x14ac:dyDescent="0.3">
      <c r="A1430" t="s">
        <v>1498</v>
      </c>
      <c r="B1430" t="s">
        <v>29</v>
      </c>
      <c r="C1430">
        <v>37</v>
      </c>
      <c r="D1430" t="s">
        <v>10</v>
      </c>
      <c r="E1430" t="str">
        <f ca="1">IF(Table1[[#This Row],[is_smoker]]=0,"non-smoker","smoker")</f>
        <v>non-smoker</v>
      </c>
      <c r="F1430" t="s">
        <v>2004</v>
      </c>
      <c r="G1430" s="2">
        <v>1.2073170731707299</v>
      </c>
      <c r="H1430" s="2">
        <v>1167.67150787123</v>
      </c>
    </row>
    <row r="1431" spans="1:8" x14ac:dyDescent="0.3">
      <c r="A1431" t="s">
        <v>1499</v>
      </c>
      <c r="B1431" t="s">
        <v>37</v>
      </c>
      <c r="C1431">
        <v>62</v>
      </c>
      <c r="D1431" t="s">
        <v>17</v>
      </c>
      <c r="E1431" t="str">
        <f ca="1">IF(Table1[[#This Row],[is_smoker]]=0,"non-smoker","smoker")</f>
        <v>non-smoker</v>
      </c>
      <c r="F1431" t="s">
        <v>27</v>
      </c>
      <c r="G1431" s="2">
        <v>0.53252032520325199</v>
      </c>
      <c r="H1431" s="2">
        <v>1240.6730717918199</v>
      </c>
    </row>
    <row r="1432" spans="1:8" x14ac:dyDescent="0.3">
      <c r="A1432" t="s">
        <v>1500</v>
      </c>
      <c r="B1432" t="s">
        <v>16</v>
      </c>
      <c r="C1432">
        <v>23</v>
      </c>
      <c r="D1432" t="s">
        <v>17</v>
      </c>
      <c r="E1432" t="str">
        <f ca="1">IF(Table1[[#This Row],[is_smoker]]=0,"non-smoker","smoker")</f>
        <v>non-smoker</v>
      </c>
      <c r="F1432" t="s">
        <v>61</v>
      </c>
      <c r="G1432" s="2">
        <v>1.61788617886178</v>
      </c>
      <c r="H1432" s="2">
        <v>4977.0134708805699</v>
      </c>
    </row>
    <row r="1433" spans="1:8" x14ac:dyDescent="0.3">
      <c r="A1433" t="s">
        <v>1501</v>
      </c>
      <c r="B1433" t="s">
        <v>13</v>
      </c>
      <c r="C1433">
        <v>27</v>
      </c>
      <c r="D1433" t="s">
        <v>10</v>
      </c>
      <c r="E1433" t="str">
        <f ca="1">IF(Table1[[#This Row],[is_smoker]]=0,"non-smoker","smoker")</f>
        <v>non-smoker</v>
      </c>
      <c r="F1433" t="s">
        <v>27</v>
      </c>
      <c r="G1433" s="2">
        <v>0.53252032520325199</v>
      </c>
      <c r="H1433" s="2">
        <v>553.07517619633404</v>
      </c>
    </row>
    <row r="1434" spans="1:8" x14ac:dyDescent="0.3">
      <c r="A1434" t="s">
        <v>1502</v>
      </c>
      <c r="B1434" t="s">
        <v>13</v>
      </c>
      <c r="C1434">
        <v>49</v>
      </c>
      <c r="D1434" t="s">
        <v>10</v>
      </c>
      <c r="E1434" t="str">
        <f ca="1">IF(Table1[[#This Row],[is_smoker]]=0,"non-smoker","smoker")</f>
        <v>non-smoker</v>
      </c>
      <c r="F1434" t="s">
        <v>61</v>
      </c>
      <c r="G1434" s="2">
        <v>1.61788617886178</v>
      </c>
      <c r="H1434" s="2">
        <v>1436.5109531680801</v>
      </c>
    </row>
    <row r="1435" spans="1:8" x14ac:dyDescent="0.3">
      <c r="A1435" t="s">
        <v>1503</v>
      </c>
      <c r="B1435" t="s">
        <v>135</v>
      </c>
      <c r="C1435">
        <v>48</v>
      </c>
      <c r="D1435" t="s">
        <v>10</v>
      </c>
      <c r="E1435" t="str">
        <f ca="1">IF(Table1[[#This Row],[is_smoker]]=0,"non-smoker","smoker")</f>
        <v>non-smoker</v>
      </c>
      <c r="F1435" t="s">
        <v>48</v>
      </c>
      <c r="G1435" s="2">
        <v>0.46341463414634099</v>
      </c>
      <c r="H1435" s="2">
        <v>414.40557058241001</v>
      </c>
    </row>
    <row r="1436" spans="1:8" x14ac:dyDescent="0.3">
      <c r="A1436" t="s">
        <v>1504</v>
      </c>
      <c r="B1436" t="s">
        <v>229</v>
      </c>
      <c r="C1436">
        <v>53</v>
      </c>
      <c r="D1436" t="s">
        <v>10</v>
      </c>
      <c r="E1436" t="str">
        <f ca="1">IF(Table1[[#This Row],[is_smoker]]=0,"non-smoker","smoker")</f>
        <v>non-smoker</v>
      </c>
      <c r="F1436" t="s">
        <v>24</v>
      </c>
      <c r="G1436" s="2">
        <v>1.70325203252032</v>
      </c>
      <c r="H1436" s="2">
        <v>1469.8074282581699</v>
      </c>
    </row>
    <row r="1437" spans="1:8" x14ac:dyDescent="0.3">
      <c r="A1437" t="s">
        <v>1505</v>
      </c>
      <c r="B1437" t="s">
        <v>16</v>
      </c>
      <c r="C1437">
        <v>53</v>
      </c>
      <c r="D1437" t="s">
        <v>17</v>
      </c>
      <c r="E1437" t="str">
        <f ca="1">IF(Table1[[#This Row],[is_smoker]]=0,"non-smoker","smoker")</f>
        <v>non-smoker</v>
      </c>
      <c r="F1437" t="s">
        <v>61</v>
      </c>
      <c r="G1437" s="2">
        <v>1.61788617886178</v>
      </c>
      <c r="H1437" s="2">
        <v>4019.0453411064</v>
      </c>
    </row>
    <row r="1438" spans="1:8" x14ac:dyDescent="0.3">
      <c r="A1438" t="s">
        <v>1506</v>
      </c>
      <c r="B1438" t="s">
        <v>60</v>
      </c>
      <c r="C1438">
        <v>36</v>
      </c>
      <c r="D1438" t="s">
        <v>17</v>
      </c>
      <c r="E1438" t="str">
        <f ca="1">IF(Table1[[#This Row],[is_smoker]]=0,"non-smoker","smoker")</f>
        <v>non-smoker</v>
      </c>
      <c r="F1438" t="s">
        <v>2004</v>
      </c>
      <c r="G1438" s="2">
        <v>1.2073170731707299</v>
      </c>
      <c r="H1438" s="2">
        <v>3385.3920155488299</v>
      </c>
    </row>
    <row r="1439" spans="1:8" x14ac:dyDescent="0.3">
      <c r="A1439" t="s">
        <v>1507</v>
      </c>
      <c r="B1439" t="s">
        <v>16</v>
      </c>
      <c r="C1439">
        <v>23</v>
      </c>
      <c r="D1439" t="s">
        <v>17</v>
      </c>
      <c r="E1439" t="str">
        <f ca="1">IF(Table1[[#This Row],[is_smoker]]=0,"non-smoker","smoker")</f>
        <v>non-smoker</v>
      </c>
      <c r="F1439" t="s">
        <v>61</v>
      </c>
      <c r="G1439" s="2">
        <v>1.61788617886178</v>
      </c>
      <c r="H1439" s="2">
        <v>4977.0134708805699</v>
      </c>
    </row>
    <row r="1440" spans="1:8" x14ac:dyDescent="0.3">
      <c r="A1440" t="s">
        <v>1508</v>
      </c>
      <c r="B1440" t="s">
        <v>170</v>
      </c>
      <c r="C1440">
        <v>19</v>
      </c>
      <c r="D1440" t="s">
        <v>17</v>
      </c>
      <c r="E1440" t="str">
        <f ca="1">IF(Table1[[#This Row],[is_smoker]]=0,"non-smoker","smoker")</f>
        <v>non-smoker</v>
      </c>
      <c r="F1440" t="s">
        <v>19</v>
      </c>
      <c r="G1440" s="2">
        <v>1.11788617886178</v>
      </c>
      <c r="H1440" s="2">
        <v>3538.3263993226201</v>
      </c>
    </row>
    <row r="1441" spans="1:8" x14ac:dyDescent="0.3">
      <c r="A1441" t="s">
        <v>1509</v>
      </c>
      <c r="B1441" t="s">
        <v>43</v>
      </c>
      <c r="C1441">
        <v>59</v>
      </c>
      <c r="D1441" t="s">
        <v>17</v>
      </c>
      <c r="E1441" t="str">
        <f ca="1">IF(Table1[[#This Row],[is_smoker]]=0,"non-smoker","smoker")</f>
        <v>non-smoker</v>
      </c>
      <c r="F1441" t="s">
        <v>48</v>
      </c>
      <c r="G1441" s="2">
        <v>0.46341463414634099</v>
      </c>
      <c r="H1441" s="2">
        <v>1102.9999757882999</v>
      </c>
    </row>
    <row r="1442" spans="1:8" x14ac:dyDescent="0.3">
      <c r="A1442" t="s">
        <v>1510</v>
      </c>
      <c r="B1442" t="s">
        <v>13</v>
      </c>
      <c r="C1442">
        <v>61</v>
      </c>
      <c r="D1442" t="s">
        <v>10</v>
      </c>
      <c r="E1442" t="str">
        <f ca="1">IF(Table1[[#This Row],[is_smoker]]=0,"non-smoker","smoker")</f>
        <v>non-smoker</v>
      </c>
      <c r="F1442" t="s">
        <v>2004</v>
      </c>
      <c r="G1442" s="2">
        <v>1.2073170731707299</v>
      </c>
      <c r="H1442" s="2">
        <v>984.11070228359199</v>
      </c>
    </row>
    <row r="1443" spans="1:8" x14ac:dyDescent="0.3">
      <c r="A1443" t="s">
        <v>1511</v>
      </c>
      <c r="B1443" t="s">
        <v>41</v>
      </c>
      <c r="C1443">
        <v>49</v>
      </c>
      <c r="D1443" t="s">
        <v>17</v>
      </c>
      <c r="E1443" t="str">
        <f ca="1">IF(Table1[[#This Row],[is_smoker]]=0,"non-smoker","smoker")</f>
        <v>non-smoker</v>
      </c>
      <c r="F1443" t="s">
        <v>44</v>
      </c>
      <c r="G1443" s="2">
        <v>1.1341463414634101</v>
      </c>
      <c r="H1443" s="2">
        <v>2898.8349692960401</v>
      </c>
    </row>
    <row r="1444" spans="1:8" x14ac:dyDescent="0.3">
      <c r="A1444" t="s">
        <v>1512</v>
      </c>
      <c r="B1444" t="s">
        <v>53</v>
      </c>
      <c r="C1444">
        <v>43</v>
      </c>
      <c r="D1444" t="s">
        <v>17</v>
      </c>
      <c r="E1444" t="str">
        <f ca="1">IF(Table1[[#This Row],[is_smoker]]=0,"non-smoker","smoker")</f>
        <v>non-smoker</v>
      </c>
      <c r="F1444" t="s">
        <v>2004</v>
      </c>
      <c r="G1444" s="2">
        <v>1.2073170731707299</v>
      </c>
      <c r="H1444" s="2">
        <v>3220.66029924945</v>
      </c>
    </row>
    <row r="1445" spans="1:8" x14ac:dyDescent="0.3">
      <c r="A1445" t="s">
        <v>1513</v>
      </c>
      <c r="B1445" t="s">
        <v>110</v>
      </c>
      <c r="C1445">
        <v>60</v>
      </c>
      <c r="D1445" t="s">
        <v>10</v>
      </c>
      <c r="E1445" t="str">
        <f ca="1">IF(Table1[[#This Row],[is_smoker]]=0,"non-smoker","smoker")</f>
        <v>non-smoker</v>
      </c>
      <c r="F1445" t="s">
        <v>19</v>
      </c>
      <c r="G1445" s="2">
        <v>1.11788617886178</v>
      </c>
      <c r="H1445" s="2">
        <v>917.73028374089404</v>
      </c>
    </row>
    <row r="1446" spans="1:8" x14ac:dyDescent="0.3">
      <c r="A1446" t="s">
        <v>1514</v>
      </c>
      <c r="B1446" t="s">
        <v>13</v>
      </c>
      <c r="C1446">
        <v>33</v>
      </c>
      <c r="D1446" t="s">
        <v>17</v>
      </c>
      <c r="E1446" t="str">
        <f ca="1">IF(Table1[[#This Row],[is_smoker]]=0,"non-smoker","smoker")</f>
        <v>non-smoker</v>
      </c>
      <c r="F1446" t="s">
        <v>24</v>
      </c>
      <c r="G1446" s="2">
        <v>1.70325203252032</v>
      </c>
      <c r="H1446" s="2">
        <v>4879.2281986103399</v>
      </c>
    </row>
    <row r="1447" spans="1:8" x14ac:dyDescent="0.3">
      <c r="A1447" t="s">
        <v>1515</v>
      </c>
      <c r="B1447" t="s">
        <v>60</v>
      </c>
      <c r="C1447">
        <v>28</v>
      </c>
      <c r="D1447" t="s">
        <v>10</v>
      </c>
      <c r="E1447" t="str">
        <f ca="1">IF(Table1[[#This Row],[is_smoker]]=0,"non-smoker","smoker")</f>
        <v>non-smoker</v>
      </c>
      <c r="F1447" t="s">
        <v>48</v>
      </c>
      <c r="G1447" s="2">
        <v>0.46341463414634099</v>
      </c>
      <c r="H1447" s="2">
        <v>477.88440513530702</v>
      </c>
    </row>
    <row r="1448" spans="1:8" x14ac:dyDescent="0.3">
      <c r="A1448" t="s">
        <v>1516</v>
      </c>
      <c r="B1448" t="s">
        <v>50</v>
      </c>
      <c r="C1448">
        <v>62</v>
      </c>
      <c r="D1448" t="s">
        <v>17</v>
      </c>
      <c r="E1448" t="str">
        <f ca="1">IF(Table1[[#This Row],[is_smoker]]=0,"non-smoker","smoker")</f>
        <v>non-smoker</v>
      </c>
      <c r="F1448" t="s">
        <v>44</v>
      </c>
      <c r="G1448" s="2">
        <v>1.1341463414634101</v>
      </c>
      <c r="H1448" s="2">
        <v>2642.3495193123499</v>
      </c>
    </row>
    <row r="1449" spans="1:8" x14ac:dyDescent="0.3">
      <c r="A1449" t="s">
        <v>1517</v>
      </c>
      <c r="B1449" t="s">
        <v>178</v>
      </c>
      <c r="C1449">
        <v>54</v>
      </c>
      <c r="D1449" t="s">
        <v>17</v>
      </c>
      <c r="E1449" t="str">
        <f ca="1">IF(Table1[[#This Row],[is_smoker]]=0,"non-smoker","smoker")</f>
        <v>non-smoker</v>
      </c>
      <c r="F1449" t="s">
        <v>19</v>
      </c>
      <c r="G1449" s="2">
        <v>1.11788617886178</v>
      </c>
      <c r="H1449" s="2">
        <v>2757.2596401618398</v>
      </c>
    </row>
    <row r="1450" spans="1:8" x14ac:dyDescent="0.3">
      <c r="A1450" t="s">
        <v>1518</v>
      </c>
      <c r="B1450" t="s">
        <v>13</v>
      </c>
      <c r="C1450">
        <v>41</v>
      </c>
      <c r="D1450" t="s">
        <v>17</v>
      </c>
      <c r="E1450" t="str">
        <f ca="1">IF(Table1[[#This Row],[is_smoker]]=0,"non-smoker","smoker")</f>
        <v>non-smoker</v>
      </c>
      <c r="F1450" t="s">
        <v>19</v>
      </c>
      <c r="G1450" s="2">
        <v>1.11788617886178</v>
      </c>
      <c r="H1450" s="2">
        <v>3024.89909298972</v>
      </c>
    </row>
    <row r="1451" spans="1:8" x14ac:dyDescent="0.3">
      <c r="A1451" t="s">
        <v>1519</v>
      </c>
      <c r="B1451" t="s">
        <v>175</v>
      </c>
      <c r="C1451">
        <v>27</v>
      </c>
      <c r="D1451" t="s">
        <v>17</v>
      </c>
      <c r="E1451" t="str">
        <f ca="1">IF(Table1[[#This Row],[is_smoker]]=0,"non-smoker","smoker")</f>
        <v>non-smoker</v>
      </c>
      <c r="F1451" t="s">
        <v>56</v>
      </c>
      <c r="G1451" s="2">
        <v>0.19512195121951201</v>
      </c>
      <c r="H1451" s="2">
        <v>583.37461433907197</v>
      </c>
    </row>
    <row r="1452" spans="1:8" x14ac:dyDescent="0.3">
      <c r="A1452" t="s">
        <v>1520</v>
      </c>
      <c r="B1452" t="s">
        <v>23</v>
      </c>
      <c r="C1452">
        <v>38</v>
      </c>
      <c r="D1452" t="s">
        <v>10</v>
      </c>
      <c r="E1452" t="str">
        <f ca="1">IF(Table1[[#This Row],[is_smoker]]=0,"non-smoker","smoker")</f>
        <v>non-smoker</v>
      </c>
      <c r="F1452" t="s">
        <v>48</v>
      </c>
      <c r="G1452" s="2">
        <v>0.46341463414634099</v>
      </c>
      <c r="H1452" s="2">
        <v>445.01456109045802</v>
      </c>
    </row>
    <row r="1453" spans="1:8" x14ac:dyDescent="0.3">
      <c r="A1453" t="s">
        <v>1521</v>
      </c>
      <c r="B1453" t="s">
        <v>13</v>
      </c>
      <c r="C1453">
        <v>55</v>
      </c>
      <c r="D1453" t="s">
        <v>17</v>
      </c>
      <c r="E1453" t="str">
        <f ca="1">IF(Table1[[#This Row],[is_smoker]]=0,"non-smoker","smoker")</f>
        <v>non-smoker</v>
      </c>
      <c r="F1453" t="s">
        <v>2004</v>
      </c>
      <c r="G1453" s="2">
        <v>1.2073170731707299</v>
      </c>
      <c r="H1453" s="2">
        <v>2956.6951956703201</v>
      </c>
    </row>
    <row r="1454" spans="1:8" x14ac:dyDescent="0.3">
      <c r="A1454" t="s">
        <v>1522</v>
      </c>
      <c r="B1454" t="s">
        <v>60</v>
      </c>
      <c r="C1454">
        <v>52</v>
      </c>
      <c r="D1454" t="s">
        <v>10</v>
      </c>
      <c r="E1454" t="str">
        <f ca="1">IF(Table1[[#This Row],[is_smoker]]=0,"non-smoker","smoker")</f>
        <v>non-smoker</v>
      </c>
      <c r="F1454" t="s">
        <v>27</v>
      </c>
      <c r="G1454" s="2">
        <v>0.53252032520325199</v>
      </c>
      <c r="H1454" s="2">
        <v>462.82048627050898</v>
      </c>
    </row>
    <row r="1455" spans="1:8" x14ac:dyDescent="0.3">
      <c r="A1455" t="s">
        <v>1523</v>
      </c>
      <c r="B1455" t="s">
        <v>50</v>
      </c>
      <c r="C1455">
        <v>40</v>
      </c>
      <c r="D1455" t="s">
        <v>10</v>
      </c>
      <c r="E1455" t="str">
        <f ca="1">IF(Table1[[#This Row],[is_smoker]]=0,"non-smoker","smoker")</f>
        <v>non-smoker</v>
      </c>
      <c r="F1455" t="s">
        <v>24</v>
      </c>
      <c r="G1455" s="2">
        <v>1.70325203252032</v>
      </c>
      <c r="H1455" s="2">
        <v>1612.4775091353899</v>
      </c>
    </row>
    <row r="1456" spans="1:8" x14ac:dyDescent="0.3">
      <c r="A1456" t="s">
        <v>1524</v>
      </c>
      <c r="B1456" t="s">
        <v>29</v>
      </c>
      <c r="C1456">
        <v>52</v>
      </c>
      <c r="D1456" t="s">
        <v>17</v>
      </c>
      <c r="E1456" t="str">
        <f ca="1">IF(Table1[[#This Row],[is_smoker]]=0,"non-smoker","smoker")</f>
        <v>non-smoker</v>
      </c>
      <c r="F1456" t="s">
        <v>27</v>
      </c>
      <c r="G1456" s="2">
        <v>0.53252032520325199</v>
      </c>
      <c r="H1456" s="2">
        <v>1332.3121639610999</v>
      </c>
    </row>
    <row r="1457" spans="1:8" x14ac:dyDescent="0.3">
      <c r="A1457" t="s">
        <v>1525</v>
      </c>
      <c r="B1457" t="s">
        <v>50</v>
      </c>
      <c r="C1457">
        <v>28</v>
      </c>
      <c r="D1457" t="s">
        <v>10</v>
      </c>
      <c r="E1457" t="str">
        <f ca="1">IF(Table1[[#This Row],[is_smoker]]=0,"non-smoker","smoker")</f>
        <v>non-smoker</v>
      </c>
      <c r="F1457" t="s">
        <v>2004</v>
      </c>
      <c r="G1457" s="2">
        <v>1.2073170731707299</v>
      </c>
      <c r="H1457" s="2">
        <v>1245.0146344314501</v>
      </c>
    </row>
    <row r="1458" spans="1:8" x14ac:dyDescent="0.3">
      <c r="A1458" t="s">
        <v>1526</v>
      </c>
      <c r="B1458" t="s">
        <v>229</v>
      </c>
      <c r="C1458">
        <v>24</v>
      </c>
      <c r="D1458" t="s">
        <v>10</v>
      </c>
      <c r="E1458" t="str">
        <f ca="1">IF(Table1[[#This Row],[is_smoker]]=0,"non-smoker","smoker")</f>
        <v>non-smoker</v>
      </c>
      <c r="F1458" t="s">
        <v>2004</v>
      </c>
      <c r="G1458" s="2">
        <v>1.2073170731707299</v>
      </c>
      <c r="H1458" s="2">
        <v>1281.01410314131</v>
      </c>
    </row>
    <row r="1459" spans="1:8" x14ac:dyDescent="0.3">
      <c r="A1459" t="s">
        <v>1527</v>
      </c>
      <c r="B1459" t="s">
        <v>88</v>
      </c>
      <c r="C1459">
        <v>27</v>
      </c>
      <c r="D1459" t="s">
        <v>10</v>
      </c>
      <c r="E1459" t="str">
        <f ca="1">IF(Table1[[#This Row],[is_smoker]]=0,"non-smoker","smoker")</f>
        <v>non-smoker</v>
      </c>
      <c r="F1459" t="s">
        <v>48</v>
      </c>
      <c r="G1459" s="2">
        <v>0.46341463414634099</v>
      </c>
      <c r="H1459" s="2">
        <v>481.30206172810699</v>
      </c>
    </row>
    <row r="1460" spans="1:8" x14ac:dyDescent="0.3">
      <c r="A1460" t="s">
        <v>1528</v>
      </c>
      <c r="B1460" t="s">
        <v>16</v>
      </c>
      <c r="C1460">
        <v>20</v>
      </c>
      <c r="D1460" t="s">
        <v>10</v>
      </c>
      <c r="E1460" t="str">
        <f ca="1">IF(Table1[[#This Row],[is_smoker]]=0,"non-smoker","smoker")</f>
        <v>non-smoker</v>
      </c>
      <c r="F1460" t="s">
        <v>2004</v>
      </c>
      <c r="G1460" s="2">
        <v>1.2073170731707299</v>
      </c>
      <c r="H1460" s="2">
        <v>1318.0544927460201</v>
      </c>
    </row>
    <row r="1461" spans="1:8" x14ac:dyDescent="0.3">
      <c r="A1461" t="s">
        <v>1529</v>
      </c>
      <c r="B1461" t="s">
        <v>85</v>
      </c>
      <c r="C1461">
        <v>22</v>
      </c>
      <c r="D1461" t="s">
        <v>17</v>
      </c>
      <c r="E1461" t="str">
        <f ca="1">IF(Table1[[#This Row],[is_smoker]]=0,"non-smoker","smoker")</f>
        <v>non-smoker</v>
      </c>
      <c r="F1461" t="s">
        <v>56</v>
      </c>
      <c r="G1461" s="2">
        <v>0.19512195121951201</v>
      </c>
      <c r="H1461" s="2">
        <v>604.53555049965701</v>
      </c>
    </row>
    <row r="1462" spans="1:8" x14ac:dyDescent="0.3">
      <c r="A1462" t="s">
        <v>1530</v>
      </c>
      <c r="B1462" t="s">
        <v>13</v>
      </c>
      <c r="C1462">
        <v>21</v>
      </c>
      <c r="D1462" t="s">
        <v>17</v>
      </c>
      <c r="E1462" t="str">
        <f ca="1">IF(Table1[[#This Row],[is_smoker]]=0,"non-smoker","smoker")</f>
        <v>non-smoker</v>
      </c>
      <c r="F1462" t="s">
        <v>44</v>
      </c>
      <c r="G1462" s="2">
        <v>1.1341463414634101</v>
      </c>
      <c r="H1462" s="2">
        <v>3538.9927649941401</v>
      </c>
    </row>
    <row r="1463" spans="1:8" x14ac:dyDescent="0.3">
      <c r="A1463" t="s">
        <v>1531</v>
      </c>
      <c r="B1463" t="s">
        <v>175</v>
      </c>
      <c r="C1463">
        <v>19</v>
      </c>
      <c r="D1463" t="s">
        <v>10</v>
      </c>
      <c r="E1463" t="str">
        <f ca="1">IF(Table1[[#This Row],[is_smoker]]=0,"non-smoker","smoker")</f>
        <v>non-smoker</v>
      </c>
      <c r="F1463" t="s">
        <v>2004</v>
      </c>
      <c r="G1463" s="2">
        <v>1.2073170731707299</v>
      </c>
      <c r="H1463" s="2">
        <v>1327.48074222894</v>
      </c>
    </row>
    <row r="1464" spans="1:8" x14ac:dyDescent="0.3">
      <c r="A1464" t="s">
        <v>1532</v>
      </c>
      <c r="B1464" t="s">
        <v>50</v>
      </c>
      <c r="C1464">
        <v>31</v>
      </c>
      <c r="D1464" t="s">
        <v>10</v>
      </c>
      <c r="E1464" t="str">
        <f ca="1">IF(Table1[[#This Row],[is_smoker]]=0,"non-smoker","smoker")</f>
        <v>non-smoker</v>
      </c>
      <c r="F1464" t="s">
        <v>27</v>
      </c>
      <c r="G1464" s="2">
        <v>0.53252032520325199</v>
      </c>
      <c r="H1464" s="2">
        <v>537.53248041269501</v>
      </c>
    </row>
    <row r="1465" spans="1:8" x14ac:dyDescent="0.3">
      <c r="A1465" t="s">
        <v>1533</v>
      </c>
      <c r="B1465" t="s">
        <v>16</v>
      </c>
      <c r="C1465">
        <v>19</v>
      </c>
      <c r="D1465" t="s">
        <v>17</v>
      </c>
      <c r="E1465" t="str">
        <f ca="1">IF(Table1[[#This Row],[is_smoker]]=0,"non-smoker","smoker")</f>
        <v>non-smoker</v>
      </c>
      <c r="F1465" t="s">
        <v>2004</v>
      </c>
      <c r="G1465" s="2">
        <v>1.2073170731707299</v>
      </c>
      <c r="H1465" s="2">
        <v>3821.3925112684301</v>
      </c>
    </row>
    <row r="1466" spans="1:8" x14ac:dyDescent="0.3">
      <c r="A1466" t="s">
        <v>1534</v>
      </c>
      <c r="B1466" t="s">
        <v>82</v>
      </c>
      <c r="C1466">
        <v>32</v>
      </c>
      <c r="D1466" t="s">
        <v>17</v>
      </c>
      <c r="E1466" t="str">
        <f ca="1">IF(Table1[[#This Row],[is_smoker]]=0,"non-smoker","smoker")</f>
        <v>non-smoker</v>
      </c>
      <c r="F1466" t="s">
        <v>56</v>
      </c>
      <c r="G1466" s="2">
        <v>0.19512195121951201</v>
      </c>
      <c r="H1466" s="2">
        <v>562.95438766831296</v>
      </c>
    </row>
    <row r="1467" spans="1:8" x14ac:dyDescent="0.3">
      <c r="A1467" t="s">
        <v>1535</v>
      </c>
      <c r="B1467" t="s">
        <v>85</v>
      </c>
      <c r="C1467">
        <v>20</v>
      </c>
      <c r="D1467" t="s">
        <v>17</v>
      </c>
      <c r="E1467" t="str">
        <f ca="1">IF(Table1[[#This Row],[is_smoker]]=0,"non-smoker","smoker")</f>
        <v>non-smoker</v>
      </c>
      <c r="F1467" t="s">
        <v>61</v>
      </c>
      <c r="G1467" s="2">
        <v>1.61788617886178</v>
      </c>
      <c r="H1467" s="2">
        <v>5084.5603594290596</v>
      </c>
    </row>
    <row r="1468" spans="1:8" x14ac:dyDescent="0.3">
      <c r="A1468" t="s">
        <v>1536</v>
      </c>
      <c r="B1468" t="s">
        <v>82</v>
      </c>
      <c r="C1468">
        <v>52</v>
      </c>
      <c r="D1468" t="s">
        <v>10</v>
      </c>
      <c r="E1468" t="str">
        <f ca="1">IF(Table1[[#This Row],[is_smoker]]=0,"non-smoker","smoker")</f>
        <v>non-smoker</v>
      </c>
      <c r="F1468" t="s">
        <v>61</v>
      </c>
      <c r="G1468" s="2">
        <v>1.61788617886178</v>
      </c>
      <c r="H1468" s="2">
        <v>1406.12636286765</v>
      </c>
    </row>
    <row r="1469" spans="1:8" x14ac:dyDescent="0.3">
      <c r="A1469" t="s">
        <v>1537</v>
      </c>
      <c r="B1469" t="s">
        <v>50</v>
      </c>
      <c r="C1469">
        <v>40</v>
      </c>
      <c r="D1469" t="s">
        <v>10</v>
      </c>
      <c r="E1469" t="str">
        <f ca="1">IF(Table1[[#This Row],[is_smoker]]=0,"non-smoker","smoker")</f>
        <v>non-smoker</v>
      </c>
      <c r="F1469" t="s">
        <v>19</v>
      </c>
      <c r="G1469" s="2">
        <v>1.11788617886178</v>
      </c>
      <c r="H1469" s="2">
        <v>1058.3086277141599</v>
      </c>
    </row>
    <row r="1470" spans="1:8" x14ac:dyDescent="0.3">
      <c r="A1470" t="s">
        <v>1538</v>
      </c>
      <c r="B1470" t="s">
        <v>13</v>
      </c>
      <c r="C1470">
        <v>48</v>
      </c>
      <c r="D1470" t="s">
        <v>10</v>
      </c>
      <c r="E1470" t="str">
        <f ca="1">IF(Table1[[#This Row],[is_smoker]]=0,"non-smoker","smoker")</f>
        <v>non-smoker</v>
      </c>
      <c r="F1470" t="s">
        <v>24</v>
      </c>
      <c r="G1470" s="2">
        <v>1.70325203252032</v>
      </c>
      <c r="H1470" s="2">
        <v>1523.1222287195601</v>
      </c>
    </row>
    <row r="1471" spans="1:8" x14ac:dyDescent="0.3">
      <c r="A1471" t="s">
        <v>1539</v>
      </c>
      <c r="B1471" t="s">
        <v>16</v>
      </c>
      <c r="C1471">
        <v>42</v>
      </c>
      <c r="D1471" t="s">
        <v>10</v>
      </c>
      <c r="E1471" t="str">
        <f ca="1">IF(Table1[[#This Row],[is_smoker]]=0,"non-smoker","smoker")</f>
        <v>non-smoker</v>
      </c>
      <c r="F1471" t="s">
        <v>14</v>
      </c>
      <c r="G1471" s="2">
        <v>0.66666666666666596</v>
      </c>
      <c r="H1471" s="2">
        <v>622.20538219493994</v>
      </c>
    </row>
    <row r="1472" spans="1:8" x14ac:dyDescent="0.3">
      <c r="A1472" t="s">
        <v>1540</v>
      </c>
      <c r="B1472" t="s">
        <v>60</v>
      </c>
      <c r="C1472">
        <v>20</v>
      </c>
      <c r="D1472" t="s">
        <v>10</v>
      </c>
      <c r="E1472" t="str">
        <f ca="1">IF(Table1[[#This Row],[is_smoker]]=0,"non-smoker","smoker")</f>
        <v>non-smoker</v>
      </c>
      <c r="F1472" t="s">
        <v>44</v>
      </c>
      <c r="G1472" s="2">
        <v>1.1341463414634101</v>
      </c>
      <c r="H1472" s="2">
        <v>1238.17240227656</v>
      </c>
    </row>
    <row r="1473" spans="1:8" x14ac:dyDescent="0.3">
      <c r="A1473" t="s">
        <v>1541</v>
      </c>
      <c r="B1473" t="s">
        <v>113</v>
      </c>
      <c r="C1473">
        <v>47</v>
      </c>
      <c r="D1473" t="s">
        <v>17</v>
      </c>
      <c r="E1473" t="str">
        <f ca="1">IF(Table1[[#This Row],[is_smoker]]=0,"non-smoker","smoker")</f>
        <v>non-smoker</v>
      </c>
      <c r="F1473" t="s">
        <v>11</v>
      </c>
      <c r="G1473" s="2">
        <v>1.1544715447154399</v>
      </c>
      <c r="H1473" s="2">
        <v>2993.1422396579801</v>
      </c>
    </row>
    <row r="1474" spans="1:8" x14ac:dyDescent="0.3">
      <c r="A1474" t="s">
        <v>1542</v>
      </c>
      <c r="B1474" t="s">
        <v>584</v>
      </c>
      <c r="C1474">
        <v>26</v>
      </c>
      <c r="D1474" t="s">
        <v>17</v>
      </c>
      <c r="E1474" t="str">
        <f ca="1">IF(Table1[[#This Row],[is_smoker]]=0,"non-smoker","smoker")</f>
        <v>non-smoker</v>
      </c>
      <c r="F1474" t="s">
        <v>19</v>
      </c>
      <c r="G1474" s="2">
        <v>1.11788617886178</v>
      </c>
      <c r="H1474" s="2">
        <v>3366.1529618268401</v>
      </c>
    </row>
    <row r="1475" spans="1:8" x14ac:dyDescent="0.3">
      <c r="A1475" t="s">
        <v>1543</v>
      </c>
      <c r="B1475" t="s">
        <v>201</v>
      </c>
      <c r="C1475">
        <v>36</v>
      </c>
      <c r="D1475" t="s">
        <v>17</v>
      </c>
      <c r="E1475" t="str">
        <f ca="1">IF(Table1[[#This Row],[is_smoker]]=0,"non-smoker","smoker")</f>
        <v>non-smoker</v>
      </c>
      <c r="F1475" t="s">
        <v>24</v>
      </c>
      <c r="G1475" s="2">
        <v>1.70325203252032</v>
      </c>
      <c r="H1475" s="2">
        <v>4776.0244259762903</v>
      </c>
    </row>
    <row r="1476" spans="1:8" x14ac:dyDescent="0.3">
      <c r="A1476" t="s">
        <v>1544</v>
      </c>
      <c r="B1476" t="s">
        <v>16</v>
      </c>
      <c r="C1476">
        <v>26</v>
      </c>
      <c r="D1476" t="s">
        <v>10</v>
      </c>
      <c r="E1476" t="str">
        <f ca="1">IF(Table1[[#This Row],[is_smoker]]=0,"non-smoker","smoker")</f>
        <v>non-smoker</v>
      </c>
      <c r="F1476" t="s">
        <v>61</v>
      </c>
      <c r="G1476" s="2">
        <v>1.61788617886178</v>
      </c>
      <c r="H1476" s="2">
        <v>1692.3524188250301</v>
      </c>
    </row>
    <row r="1477" spans="1:8" x14ac:dyDescent="0.3">
      <c r="A1477" t="s">
        <v>1545</v>
      </c>
      <c r="B1477" t="s">
        <v>82</v>
      </c>
      <c r="C1477">
        <v>42</v>
      </c>
      <c r="D1477" t="s">
        <v>17</v>
      </c>
      <c r="E1477" t="str">
        <f ca="1">IF(Table1[[#This Row],[is_smoker]]=0,"non-smoker","smoker")</f>
        <v>non-smoker</v>
      </c>
      <c r="F1477" t="s">
        <v>27</v>
      </c>
      <c r="G1477" s="2">
        <v>0.53252032520325199</v>
      </c>
      <c r="H1477" s="2">
        <v>1430.71993952051</v>
      </c>
    </row>
    <row r="1478" spans="1:8" x14ac:dyDescent="0.3">
      <c r="A1478" t="s">
        <v>1546</v>
      </c>
      <c r="B1478" t="s">
        <v>13</v>
      </c>
      <c r="C1478">
        <v>54</v>
      </c>
      <c r="D1478" t="s">
        <v>10</v>
      </c>
      <c r="E1478" t="str">
        <f ca="1">IF(Table1[[#This Row],[is_smoker]]=0,"non-smoker","smoker")</f>
        <v>non-smoker</v>
      </c>
      <c r="F1478" t="s">
        <v>11</v>
      </c>
      <c r="G1478" s="2">
        <v>1.1544715447154399</v>
      </c>
      <c r="H1478" s="2">
        <v>989.167619679327</v>
      </c>
    </row>
    <row r="1479" spans="1:8" x14ac:dyDescent="0.3">
      <c r="A1479" t="s">
        <v>1547</v>
      </c>
      <c r="B1479" t="s">
        <v>110</v>
      </c>
      <c r="C1479">
        <v>22</v>
      </c>
      <c r="D1479" t="s">
        <v>10</v>
      </c>
      <c r="E1479" t="str">
        <f ca="1">IF(Table1[[#This Row],[is_smoker]]=0,"non-smoker","smoker")</f>
        <v>smoker</v>
      </c>
      <c r="F1479" t="s">
        <v>24</v>
      </c>
      <c r="G1479" s="2">
        <v>1.70325203252032</v>
      </c>
      <c r="H1479" s="2">
        <v>1968.6514187046</v>
      </c>
    </row>
    <row r="1480" spans="1:8" x14ac:dyDescent="0.3">
      <c r="A1480" t="s">
        <v>1548</v>
      </c>
      <c r="B1480" t="s">
        <v>229</v>
      </c>
      <c r="C1480">
        <v>54</v>
      </c>
      <c r="D1480" t="s">
        <v>17</v>
      </c>
      <c r="E1480" t="str">
        <f ca="1">IF(Table1[[#This Row],[is_smoker]]=0,"non-smoker","smoker")</f>
        <v>non-smoker</v>
      </c>
      <c r="F1480" t="s">
        <v>24</v>
      </c>
      <c r="G1480" s="2">
        <v>1.70325203252032</v>
      </c>
      <c r="H1480" s="2">
        <v>4201.0610517374898</v>
      </c>
    </row>
    <row r="1481" spans="1:8" x14ac:dyDescent="0.3">
      <c r="A1481" t="s">
        <v>1549</v>
      </c>
      <c r="B1481" t="s">
        <v>43</v>
      </c>
      <c r="C1481">
        <v>63</v>
      </c>
      <c r="D1481" t="s">
        <v>17</v>
      </c>
      <c r="E1481" t="str">
        <f ca="1">IF(Table1[[#This Row],[is_smoker]]=0,"non-smoker","smoker")</f>
        <v>non-smoker</v>
      </c>
      <c r="F1481" t="s">
        <v>19</v>
      </c>
      <c r="G1481" s="2">
        <v>1.11788617886178</v>
      </c>
      <c r="H1481" s="2">
        <v>2585.9724316337001</v>
      </c>
    </row>
    <row r="1482" spans="1:8" x14ac:dyDescent="0.3">
      <c r="A1482" t="s">
        <v>1550</v>
      </c>
      <c r="B1482" t="s">
        <v>13</v>
      </c>
      <c r="C1482">
        <v>63</v>
      </c>
      <c r="D1482" t="s">
        <v>10</v>
      </c>
      <c r="E1482" t="str">
        <f ca="1">IF(Table1[[#This Row],[is_smoker]]=0,"non-smoker","smoker")</f>
        <v>non-smoker</v>
      </c>
      <c r="F1482" t="s">
        <v>11</v>
      </c>
      <c r="G1482" s="2">
        <v>1.1544715447154399</v>
      </c>
      <c r="H1482" s="2">
        <v>927.71828865755197</v>
      </c>
    </row>
    <row r="1483" spans="1:8" x14ac:dyDescent="0.3">
      <c r="A1483" t="s">
        <v>1551</v>
      </c>
      <c r="B1483" t="s">
        <v>16</v>
      </c>
      <c r="C1483">
        <v>51</v>
      </c>
      <c r="D1483" t="s">
        <v>17</v>
      </c>
      <c r="E1483" t="str">
        <f ca="1">IF(Table1[[#This Row],[is_smoker]]=0,"non-smoker","smoker")</f>
        <v>non-smoker</v>
      </c>
      <c r="F1483" t="s">
        <v>48</v>
      </c>
      <c r="G1483" s="2">
        <v>0.46341463414634099</v>
      </c>
      <c r="H1483" s="2">
        <v>1167.70842155636</v>
      </c>
    </row>
    <row r="1484" spans="1:8" x14ac:dyDescent="0.3">
      <c r="A1484" t="s">
        <v>1552</v>
      </c>
      <c r="B1484" t="s">
        <v>16</v>
      </c>
      <c r="C1484">
        <v>58</v>
      </c>
      <c r="D1484" t="s">
        <v>10</v>
      </c>
      <c r="E1484" t="str">
        <f ca="1">IF(Table1[[#This Row],[is_smoker]]=0,"non-smoker","smoker")</f>
        <v>non-smoker</v>
      </c>
      <c r="F1484" t="s">
        <v>14</v>
      </c>
      <c r="G1484" s="2">
        <v>0.66666666666666596</v>
      </c>
      <c r="H1484" s="2">
        <v>555.15715898688302</v>
      </c>
    </row>
    <row r="1485" spans="1:8" x14ac:dyDescent="0.3">
      <c r="A1485" t="s">
        <v>1553</v>
      </c>
      <c r="B1485" t="s">
        <v>60</v>
      </c>
      <c r="C1485">
        <v>52</v>
      </c>
      <c r="D1485" t="s">
        <v>17</v>
      </c>
      <c r="E1485" t="str">
        <f ca="1">IF(Table1[[#This Row],[is_smoker]]=0,"non-smoker","smoker")</f>
        <v>non-smoker</v>
      </c>
      <c r="F1485" t="s">
        <v>48</v>
      </c>
      <c r="G1485" s="2">
        <v>0.46341463414634099</v>
      </c>
      <c r="H1485" s="2">
        <v>1159.41669230203</v>
      </c>
    </row>
    <row r="1486" spans="1:8" x14ac:dyDescent="0.3">
      <c r="A1486" t="s">
        <v>1554</v>
      </c>
      <c r="B1486" t="s">
        <v>82</v>
      </c>
      <c r="C1486">
        <v>25</v>
      </c>
      <c r="D1486" t="s">
        <v>17</v>
      </c>
      <c r="E1486" t="str">
        <f ca="1">IF(Table1[[#This Row],[is_smoker]]=0,"non-smoker","smoker")</f>
        <v>non-smoker</v>
      </c>
      <c r="F1486" t="s">
        <v>11</v>
      </c>
      <c r="G1486" s="2">
        <v>1.1544715447154399</v>
      </c>
      <c r="H1486" s="2">
        <v>3501.1793378674101</v>
      </c>
    </row>
    <row r="1487" spans="1:8" x14ac:dyDescent="0.3">
      <c r="A1487" t="s">
        <v>1555</v>
      </c>
      <c r="B1487" t="s">
        <v>13</v>
      </c>
      <c r="C1487">
        <v>57</v>
      </c>
      <c r="D1487" t="s">
        <v>17</v>
      </c>
      <c r="E1487" t="str">
        <f ca="1">IF(Table1[[#This Row],[is_smoker]]=0,"non-smoker","smoker")</f>
        <v>non-smoker</v>
      </c>
      <c r="F1487" t="s">
        <v>48</v>
      </c>
      <c r="G1487" s="2">
        <v>0.46341463414634099</v>
      </c>
      <c r="H1487" s="2">
        <v>1118.8329043195899</v>
      </c>
    </row>
    <row r="1488" spans="1:8" x14ac:dyDescent="0.3">
      <c r="A1488" t="s">
        <v>1556</v>
      </c>
      <c r="B1488" t="s">
        <v>29</v>
      </c>
      <c r="C1488">
        <v>57</v>
      </c>
      <c r="D1488" t="s">
        <v>10</v>
      </c>
      <c r="E1488" t="str">
        <f ca="1">IF(Table1[[#This Row],[is_smoker]]=0,"non-smoker","smoker")</f>
        <v>non-smoker</v>
      </c>
      <c r="F1488" t="s">
        <v>56</v>
      </c>
      <c r="G1488" s="2">
        <v>0.19512195121951201</v>
      </c>
      <c r="H1488" s="2">
        <v>163.64705631057501</v>
      </c>
    </row>
    <row r="1489" spans="1:8" x14ac:dyDescent="0.3">
      <c r="A1489" t="s">
        <v>1557</v>
      </c>
      <c r="B1489" t="s">
        <v>13</v>
      </c>
      <c r="C1489">
        <v>38</v>
      </c>
      <c r="D1489" t="s">
        <v>10</v>
      </c>
      <c r="E1489" t="str">
        <f ca="1">IF(Table1[[#This Row],[is_smoker]]=0,"non-smoker","smoker")</f>
        <v>non-smoker</v>
      </c>
      <c r="F1489" t="s">
        <v>61</v>
      </c>
      <c r="G1489" s="2">
        <v>1.61788617886178</v>
      </c>
      <c r="H1489" s="2">
        <v>1553.6473273158099</v>
      </c>
    </row>
    <row r="1490" spans="1:8" x14ac:dyDescent="0.3">
      <c r="A1490" t="s">
        <v>1558</v>
      </c>
      <c r="B1490" t="s">
        <v>60</v>
      </c>
      <c r="C1490">
        <v>38</v>
      </c>
      <c r="D1490" t="s">
        <v>10</v>
      </c>
      <c r="E1490" t="str">
        <f ca="1">IF(Table1[[#This Row],[is_smoker]]=0,"non-smoker","smoker")</f>
        <v>non-smoker</v>
      </c>
      <c r="F1490" t="s">
        <v>56</v>
      </c>
      <c r="G1490" s="2">
        <v>0.19512195121951201</v>
      </c>
      <c r="H1490" s="2">
        <v>187.37455203808699</v>
      </c>
    </row>
    <row r="1491" spans="1:8" x14ac:dyDescent="0.3">
      <c r="A1491" t="s">
        <v>1559</v>
      </c>
      <c r="B1491" t="s">
        <v>13</v>
      </c>
      <c r="C1491">
        <v>55</v>
      </c>
      <c r="D1491" t="s">
        <v>10</v>
      </c>
      <c r="E1491" t="str">
        <f ca="1">IF(Table1[[#This Row],[is_smoker]]=0,"non-smoker","smoker")</f>
        <v>non-smoker</v>
      </c>
      <c r="F1491" t="s">
        <v>2004</v>
      </c>
      <c r="G1491" s="2">
        <v>1.2073170731707299</v>
      </c>
      <c r="H1491" s="2">
        <v>1027.1009641954799</v>
      </c>
    </row>
    <row r="1492" spans="1:8" x14ac:dyDescent="0.3">
      <c r="A1492" t="s">
        <v>1560</v>
      </c>
      <c r="B1492" t="s">
        <v>92</v>
      </c>
      <c r="C1492">
        <v>41</v>
      </c>
      <c r="D1492" t="s">
        <v>17</v>
      </c>
      <c r="E1492" t="str">
        <f ca="1">IF(Table1[[#This Row],[is_smoker]]=0,"non-smoker","smoker")</f>
        <v>non-smoker</v>
      </c>
      <c r="F1492" t="s">
        <v>48</v>
      </c>
      <c r="G1492" s="2">
        <v>0.46341463414634099</v>
      </c>
      <c r="H1492" s="2">
        <v>1253.95816945755</v>
      </c>
    </row>
    <row r="1493" spans="1:8" x14ac:dyDescent="0.3">
      <c r="A1493" t="s">
        <v>1561</v>
      </c>
      <c r="B1493" t="s">
        <v>29</v>
      </c>
      <c r="C1493">
        <v>23</v>
      </c>
      <c r="D1493" t="s">
        <v>17</v>
      </c>
      <c r="E1493" t="str">
        <f ca="1">IF(Table1[[#This Row],[is_smoker]]=0,"non-smoker","smoker")</f>
        <v>non-smoker</v>
      </c>
      <c r="F1493" t="s">
        <v>2004</v>
      </c>
      <c r="G1493" s="2">
        <v>1.2073170731707299</v>
      </c>
      <c r="H1493" s="2">
        <v>3714.0025147023298</v>
      </c>
    </row>
    <row r="1494" spans="1:8" x14ac:dyDescent="0.3">
      <c r="A1494" t="s">
        <v>1562</v>
      </c>
      <c r="B1494" t="s">
        <v>46</v>
      </c>
      <c r="C1494">
        <v>22</v>
      </c>
      <c r="D1494" t="s">
        <v>10</v>
      </c>
      <c r="E1494" t="str">
        <f ca="1">IF(Table1[[#This Row],[is_smoker]]=0,"non-smoker","smoker")</f>
        <v>non-smoker</v>
      </c>
      <c r="F1494" t="s">
        <v>27</v>
      </c>
      <c r="G1494" s="2">
        <v>0.53252032520325199</v>
      </c>
      <c r="H1494" s="2">
        <v>573.13705103254802</v>
      </c>
    </row>
    <row r="1495" spans="1:8" x14ac:dyDescent="0.3">
      <c r="A1495" t="s">
        <v>1563</v>
      </c>
      <c r="B1495" t="s">
        <v>37</v>
      </c>
      <c r="C1495">
        <v>45</v>
      </c>
      <c r="D1495" t="s">
        <v>17</v>
      </c>
      <c r="E1495" t="str">
        <f ca="1">IF(Table1[[#This Row],[is_smoker]]=0,"non-smoker","smoker")</f>
        <v>non-smoker</v>
      </c>
      <c r="F1495" t="s">
        <v>44</v>
      </c>
      <c r="G1495" s="2">
        <v>1.1341463414634101</v>
      </c>
      <c r="H1495" s="2">
        <v>2982.6544810400601</v>
      </c>
    </row>
    <row r="1496" spans="1:8" x14ac:dyDescent="0.3">
      <c r="A1496" t="s">
        <v>1564</v>
      </c>
      <c r="B1496" t="s">
        <v>13</v>
      </c>
      <c r="C1496">
        <v>21</v>
      </c>
      <c r="D1496" t="s">
        <v>17</v>
      </c>
      <c r="E1496" t="str">
        <f ca="1">IF(Table1[[#This Row],[is_smoker]]=0,"non-smoker","smoker")</f>
        <v>non-smoker</v>
      </c>
      <c r="F1496" t="s">
        <v>27</v>
      </c>
      <c r="G1496" s="2">
        <v>0.53252032520325199</v>
      </c>
      <c r="H1496" s="2">
        <v>1661.6776065026199</v>
      </c>
    </row>
    <row r="1497" spans="1:8" x14ac:dyDescent="0.3">
      <c r="A1497" t="s">
        <v>1565</v>
      </c>
      <c r="B1497" t="s">
        <v>170</v>
      </c>
      <c r="C1497">
        <v>48</v>
      </c>
      <c r="D1497" t="s">
        <v>10</v>
      </c>
      <c r="E1497" t="str">
        <f ca="1">IF(Table1[[#This Row],[is_smoker]]=0,"non-smoker","smoker")</f>
        <v>non-smoker</v>
      </c>
      <c r="F1497" t="s">
        <v>11</v>
      </c>
      <c r="G1497" s="2">
        <v>1.1544715447154399</v>
      </c>
      <c r="H1497" s="2">
        <v>1032.37878987196</v>
      </c>
    </row>
    <row r="1498" spans="1:8" x14ac:dyDescent="0.3">
      <c r="A1498" t="s">
        <v>1566</v>
      </c>
      <c r="B1498" t="s">
        <v>50</v>
      </c>
      <c r="C1498">
        <v>33</v>
      </c>
      <c r="D1498" t="s">
        <v>10</v>
      </c>
      <c r="E1498" t="str">
        <f ca="1">IF(Table1[[#This Row],[is_smoker]]=0,"non-smoker","smoker")</f>
        <v>non-smoker</v>
      </c>
      <c r="F1498" t="s">
        <v>24</v>
      </c>
      <c r="G1498" s="2">
        <v>1.70325203252032</v>
      </c>
      <c r="H1498" s="2">
        <v>1694.95320135165</v>
      </c>
    </row>
    <row r="1499" spans="1:8" x14ac:dyDescent="0.3">
      <c r="A1499" t="s">
        <v>1567</v>
      </c>
      <c r="B1499" t="s">
        <v>85</v>
      </c>
      <c r="C1499">
        <v>19</v>
      </c>
      <c r="D1499" t="s">
        <v>17</v>
      </c>
      <c r="E1499" t="str">
        <f ca="1">IF(Table1[[#This Row],[is_smoker]]=0,"non-smoker","smoker")</f>
        <v>non-smoker</v>
      </c>
      <c r="F1499" t="s">
        <v>61</v>
      </c>
      <c r="G1499" s="2">
        <v>1.61788617886178</v>
      </c>
      <c r="H1499" s="2">
        <v>5120.9232979287399</v>
      </c>
    </row>
    <row r="1500" spans="1:8" x14ac:dyDescent="0.3">
      <c r="A1500" t="s">
        <v>1568</v>
      </c>
      <c r="B1500" t="s">
        <v>157</v>
      </c>
      <c r="C1500">
        <v>62</v>
      </c>
      <c r="D1500" t="s">
        <v>17</v>
      </c>
      <c r="E1500" t="str">
        <f ca="1">IF(Table1[[#This Row],[is_smoker]]=0,"non-smoker","smoker")</f>
        <v>non-smoker</v>
      </c>
      <c r="F1500" t="s">
        <v>48</v>
      </c>
      <c r="G1500" s="2">
        <v>0.46341463414634099</v>
      </c>
      <c r="H1500" s="2">
        <v>1079.66969606311</v>
      </c>
    </row>
    <row r="1501" spans="1:8" x14ac:dyDescent="0.3">
      <c r="A1501" t="s">
        <v>1569</v>
      </c>
      <c r="B1501" t="s">
        <v>110</v>
      </c>
      <c r="C1501">
        <v>20</v>
      </c>
      <c r="D1501" t="s">
        <v>10</v>
      </c>
      <c r="E1501" t="str">
        <f ca="1">IF(Table1[[#This Row],[is_smoker]]=0,"non-smoker","smoker")</f>
        <v>non-smoker</v>
      </c>
      <c r="F1501" t="s">
        <v>19</v>
      </c>
      <c r="G1501" s="2">
        <v>1.11788617886178</v>
      </c>
      <c r="H1501" s="2">
        <v>1220.42082661668</v>
      </c>
    </row>
    <row r="1502" spans="1:8" x14ac:dyDescent="0.3">
      <c r="A1502" t="s">
        <v>1570</v>
      </c>
      <c r="B1502" t="s">
        <v>85</v>
      </c>
      <c r="C1502">
        <v>49</v>
      </c>
      <c r="D1502" t="s">
        <v>10</v>
      </c>
      <c r="E1502" t="str">
        <f ca="1">IF(Table1[[#This Row],[is_smoker]]=0,"non-smoker","smoker")</f>
        <v>non-smoker</v>
      </c>
      <c r="F1502" t="s">
        <v>44</v>
      </c>
      <c r="G1502" s="2">
        <v>1.1341463414634101</v>
      </c>
      <c r="H1502" s="2">
        <v>1007.00139681883</v>
      </c>
    </row>
    <row r="1503" spans="1:8" x14ac:dyDescent="0.3">
      <c r="A1503" t="s">
        <v>1571</v>
      </c>
      <c r="B1503" t="s">
        <v>50</v>
      </c>
      <c r="C1503">
        <v>49</v>
      </c>
      <c r="D1503" t="s">
        <v>10</v>
      </c>
      <c r="E1503" t="str">
        <f ca="1">IF(Table1[[#This Row],[is_smoker]]=0,"non-smoker","smoker")</f>
        <v>non-smoker</v>
      </c>
      <c r="F1503" t="s">
        <v>14</v>
      </c>
      <c r="G1503" s="2">
        <v>0.66666666666666596</v>
      </c>
      <c r="H1503" s="2">
        <v>591.92913648132003</v>
      </c>
    </row>
    <row r="1504" spans="1:8" x14ac:dyDescent="0.3">
      <c r="A1504" t="s">
        <v>1572</v>
      </c>
      <c r="B1504" t="s">
        <v>13</v>
      </c>
      <c r="C1504">
        <v>33</v>
      </c>
      <c r="D1504" t="s">
        <v>17</v>
      </c>
      <c r="E1504" t="str">
        <f ca="1">IF(Table1[[#This Row],[is_smoker]]=0,"non-smoker","smoker")</f>
        <v>non-smoker</v>
      </c>
      <c r="F1504" t="s">
        <v>14</v>
      </c>
      <c r="G1504" s="2">
        <v>0.66666666666666596</v>
      </c>
      <c r="H1504" s="2">
        <v>1909.7695097185999</v>
      </c>
    </row>
    <row r="1505" spans="1:8" x14ac:dyDescent="0.3">
      <c r="A1505" t="s">
        <v>1573</v>
      </c>
      <c r="B1505" t="s">
        <v>23</v>
      </c>
      <c r="C1505">
        <v>27</v>
      </c>
      <c r="D1505" t="s">
        <v>10</v>
      </c>
      <c r="E1505" t="str">
        <f ca="1">IF(Table1[[#This Row],[is_smoker]]=0,"non-smoker","smoker")</f>
        <v>non-smoker</v>
      </c>
      <c r="F1505" t="s">
        <v>14</v>
      </c>
      <c r="G1505" s="2">
        <v>0.66666666666666596</v>
      </c>
      <c r="H1505" s="2">
        <v>692.39945722289099</v>
      </c>
    </row>
    <row r="1506" spans="1:8" x14ac:dyDescent="0.3">
      <c r="A1506" t="s">
        <v>1574</v>
      </c>
      <c r="B1506" t="s">
        <v>13</v>
      </c>
      <c r="C1506">
        <v>51</v>
      </c>
      <c r="D1506" t="s">
        <v>17</v>
      </c>
      <c r="E1506" t="str">
        <f ca="1">IF(Table1[[#This Row],[is_smoker]]=0,"non-smoker","smoker")</f>
        <v>non-smoker</v>
      </c>
      <c r="F1506" t="s">
        <v>48</v>
      </c>
      <c r="G1506" s="2">
        <v>0.46341463414634099</v>
      </c>
      <c r="H1506" s="2">
        <v>1167.70842155636</v>
      </c>
    </row>
    <row r="1507" spans="1:8" x14ac:dyDescent="0.3">
      <c r="A1507" t="s">
        <v>1575</v>
      </c>
      <c r="B1507" t="s">
        <v>82</v>
      </c>
      <c r="C1507">
        <v>20</v>
      </c>
      <c r="D1507" t="s">
        <v>10</v>
      </c>
      <c r="E1507" t="str">
        <f ca="1">IF(Table1[[#This Row],[is_smoker]]=0,"non-smoker","smoker")</f>
        <v>non-smoker</v>
      </c>
      <c r="F1507" t="s">
        <v>14</v>
      </c>
      <c r="G1507" s="2">
        <v>0.66666666666666596</v>
      </c>
      <c r="H1507" s="2">
        <v>727.814602055043</v>
      </c>
    </row>
    <row r="1508" spans="1:8" x14ac:dyDescent="0.3">
      <c r="A1508" t="s">
        <v>1576</v>
      </c>
      <c r="B1508" t="s">
        <v>85</v>
      </c>
      <c r="C1508">
        <v>64</v>
      </c>
      <c r="D1508" t="s">
        <v>10</v>
      </c>
      <c r="E1508" t="str">
        <f ca="1">IF(Table1[[#This Row],[is_smoker]]=0,"non-smoker","smoker")</f>
        <v>non-smoker</v>
      </c>
      <c r="F1508" t="s">
        <v>56</v>
      </c>
      <c r="G1508" s="2">
        <v>0.19512195121951201</v>
      </c>
      <c r="H1508" s="2">
        <v>155.684061085926</v>
      </c>
    </row>
    <row r="1509" spans="1:8" x14ac:dyDescent="0.3">
      <c r="A1509" t="s">
        <v>1577</v>
      </c>
      <c r="B1509" t="s">
        <v>39</v>
      </c>
      <c r="C1509">
        <v>27</v>
      </c>
      <c r="D1509" t="s">
        <v>10</v>
      </c>
      <c r="E1509" t="str">
        <f ca="1">IF(Table1[[#This Row],[is_smoker]]=0,"non-smoker","smoker")</f>
        <v>non-smoker</v>
      </c>
      <c r="F1509" t="s">
        <v>44</v>
      </c>
      <c r="G1509" s="2">
        <v>1.1341463414634101</v>
      </c>
      <c r="H1509" s="2">
        <v>1177.9234668608899</v>
      </c>
    </row>
    <row r="1510" spans="1:8" x14ac:dyDescent="0.3">
      <c r="A1510" t="s">
        <v>1578</v>
      </c>
      <c r="B1510" t="s">
        <v>175</v>
      </c>
      <c r="C1510">
        <v>56</v>
      </c>
      <c r="D1510" t="s">
        <v>17</v>
      </c>
      <c r="E1510" t="str">
        <f ca="1">IF(Table1[[#This Row],[is_smoker]]=0,"non-smoker","smoker")</f>
        <v>non-smoker</v>
      </c>
      <c r="F1510" t="s">
        <v>56</v>
      </c>
      <c r="G1510" s="2">
        <v>0.19512195121951201</v>
      </c>
      <c r="H1510" s="2">
        <v>474.456586520553</v>
      </c>
    </row>
    <row r="1511" spans="1:8" x14ac:dyDescent="0.3">
      <c r="A1511" t="s">
        <v>1579</v>
      </c>
      <c r="B1511" t="s">
        <v>408</v>
      </c>
      <c r="C1511">
        <v>51</v>
      </c>
      <c r="D1511" t="s">
        <v>10</v>
      </c>
      <c r="E1511" t="str">
        <f ca="1">IF(Table1[[#This Row],[is_smoker]]=0,"non-smoker","smoker")</f>
        <v>non-smoker</v>
      </c>
      <c r="F1511" t="s">
        <v>24</v>
      </c>
      <c r="G1511" s="2">
        <v>1.70325203252032</v>
      </c>
      <c r="H1511" s="2">
        <v>1490.9056662248099</v>
      </c>
    </row>
    <row r="1512" spans="1:8" x14ac:dyDescent="0.3">
      <c r="A1512" t="s">
        <v>1580</v>
      </c>
      <c r="B1512" t="s">
        <v>21</v>
      </c>
      <c r="C1512">
        <v>25</v>
      </c>
      <c r="D1512" t="s">
        <v>17</v>
      </c>
      <c r="E1512" t="str">
        <f ca="1">IF(Table1[[#This Row],[is_smoker]]=0,"non-smoker","smoker")</f>
        <v>non-smoker</v>
      </c>
      <c r="F1512" t="s">
        <v>44</v>
      </c>
      <c r="G1512" s="2">
        <v>1.1341463414634101</v>
      </c>
      <c r="H1512" s="2">
        <v>3439.53885656693</v>
      </c>
    </row>
    <row r="1513" spans="1:8" x14ac:dyDescent="0.3">
      <c r="A1513" t="s">
        <v>1581</v>
      </c>
      <c r="B1513" t="s">
        <v>35</v>
      </c>
      <c r="C1513">
        <v>52</v>
      </c>
      <c r="D1513" t="s">
        <v>17</v>
      </c>
      <c r="E1513" t="str">
        <f ca="1">IF(Table1[[#This Row],[is_smoker]]=0,"non-smoker","smoker")</f>
        <v>non-smoker</v>
      </c>
      <c r="F1513" t="s">
        <v>56</v>
      </c>
      <c r="G1513" s="2">
        <v>0.19512195121951201</v>
      </c>
      <c r="H1513" s="2">
        <v>488.17544939032803</v>
      </c>
    </row>
    <row r="1514" spans="1:8" x14ac:dyDescent="0.3">
      <c r="A1514" t="s">
        <v>1582</v>
      </c>
      <c r="B1514" t="s">
        <v>43</v>
      </c>
      <c r="C1514">
        <v>29</v>
      </c>
      <c r="D1514" t="s">
        <v>10</v>
      </c>
      <c r="E1514" t="str">
        <f ca="1">IF(Table1[[#This Row],[is_smoker]]=0,"non-smoker","smoker")</f>
        <v>non-smoker</v>
      </c>
      <c r="F1514" t="s">
        <v>44</v>
      </c>
      <c r="G1514" s="2">
        <v>1.1341463414634101</v>
      </c>
      <c r="H1514" s="2">
        <v>1161.2543306617799</v>
      </c>
    </row>
    <row r="1515" spans="1:8" x14ac:dyDescent="0.3">
      <c r="A1515" t="s">
        <v>1583</v>
      </c>
      <c r="B1515" t="s">
        <v>502</v>
      </c>
      <c r="C1515">
        <v>49</v>
      </c>
      <c r="D1515" t="s">
        <v>10</v>
      </c>
      <c r="E1515" t="str">
        <f ca="1">IF(Table1[[#This Row],[is_smoker]]=0,"non-smoker","smoker")</f>
        <v>non-smoker</v>
      </c>
      <c r="F1515" t="s">
        <v>24</v>
      </c>
      <c r="G1515" s="2">
        <v>1.70325203252032</v>
      </c>
      <c r="H1515" s="2">
        <v>1512.30675722971</v>
      </c>
    </row>
    <row r="1516" spans="1:8" x14ac:dyDescent="0.3">
      <c r="A1516" t="s">
        <v>1584</v>
      </c>
      <c r="B1516" t="s">
        <v>29</v>
      </c>
      <c r="C1516">
        <v>40</v>
      </c>
      <c r="D1516" t="s">
        <v>10</v>
      </c>
      <c r="E1516" t="str">
        <f ca="1">IF(Table1[[#This Row],[is_smoker]]=0,"non-smoker","smoker")</f>
        <v>non-smoker</v>
      </c>
      <c r="F1516" t="s">
        <v>2004</v>
      </c>
      <c r="G1516" s="2">
        <v>1.2073170731707299</v>
      </c>
      <c r="H1516" s="2">
        <v>1142.97331793129</v>
      </c>
    </row>
    <row r="1517" spans="1:8" x14ac:dyDescent="0.3">
      <c r="A1517" t="s">
        <v>1585</v>
      </c>
      <c r="B1517" t="s">
        <v>106</v>
      </c>
      <c r="C1517">
        <v>26</v>
      </c>
      <c r="D1517" t="s">
        <v>17</v>
      </c>
      <c r="E1517" t="str">
        <f ca="1">IF(Table1[[#This Row],[is_smoker]]=0,"non-smoker","smoker")</f>
        <v>non-smoker</v>
      </c>
      <c r="F1517" t="s">
        <v>48</v>
      </c>
      <c r="G1517" s="2">
        <v>0.46341463414634099</v>
      </c>
      <c r="H1517" s="2">
        <v>1395.4234096300299</v>
      </c>
    </row>
    <row r="1518" spans="1:8" x14ac:dyDescent="0.3">
      <c r="A1518" t="s">
        <v>1586</v>
      </c>
      <c r="B1518" t="s">
        <v>229</v>
      </c>
      <c r="C1518">
        <v>32</v>
      </c>
      <c r="D1518" t="s">
        <v>10</v>
      </c>
      <c r="E1518" t="str">
        <f ca="1">IF(Table1[[#This Row],[is_smoker]]=0,"non-smoker","smoker")</f>
        <v>non-smoker</v>
      </c>
      <c r="F1518" t="s">
        <v>48</v>
      </c>
      <c r="G1518" s="2">
        <v>0.46341463414634099</v>
      </c>
      <c r="H1518" s="2">
        <v>464.45474448800599</v>
      </c>
    </row>
    <row r="1519" spans="1:8" x14ac:dyDescent="0.3">
      <c r="A1519" t="s">
        <v>1587</v>
      </c>
      <c r="B1519" t="s">
        <v>43</v>
      </c>
      <c r="C1519">
        <v>24</v>
      </c>
      <c r="D1519" t="s">
        <v>17</v>
      </c>
      <c r="E1519" t="str">
        <f ca="1">IF(Table1[[#This Row],[is_smoker]]=0,"non-smoker","smoker")</f>
        <v>non-smoker</v>
      </c>
      <c r="F1519" t="s">
        <v>14</v>
      </c>
      <c r="G1519" s="2">
        <v>0.66666666666666596</v>
      </c>
      <c r="H1519" s="2">
        <v>2036.26702541144</v>
      </c>
    </row>
    <row r="1520" spans="1:8" x14ac:dyDescent="0.3">
      <c r="A1520" t="s">
        <v>1588</v>
      </c>
      <c r="B1520" t="s">
        <v>43</v>
      </c>
      <c r="C1520">
        <v>36</v>
      </c>
      <c r="D1520" t="s">
        <v>10</v>
      </c>
      <c r="E1520" t="str">
        <f ca="1">IF(Table1[[#This Row],[is_smoker]]=0,"non-smoker","smoker")</f>
        <v>non-smoker</v>
      </c>
      <c r="F1520" t="s">
        <v>27</v>
      </c>
      <c r="G1520" s="2">
        <v>0.53252032520325199</v>
      </c>
      <c r="H1520" s="2">
        <v>518.71689464135</v>
      </c>
    </row>
    <row r="1521" spans="1:8" x14ac:dyDescent="0.3">
      <c r="A1521" t="s">
        <v>1589</v>
      </c>
      <c r="B1521" t="s">
        <v>63</v>
      </c>
      <c r="C1521">
        <v>43</v>
      </c>
      <c r="D1521" t="s">
        <v>17</v>
      </c>
      <c r="E1521" t="str">
        <f ca="1">IF(Table1[[#This Row],[is_smoker]]=0,"non-smoker","smoker")</f>
        <v>non-smoker</v>
      </c>
      <c r="F1521" t="s">
        <v>14</v>
      </c>
      <c r="G1521" s="2">
        <v>0.66666666666666596</v>
      </c>
      <c r="H1521" s="2">
        <v>1778.4117477336999</v>
      </c>
    </row>
    <row r="1522" spans="1:8" x14ac:dyDescent="0.3">
      <c r="A1522" t="s">
        <v>1590</v>
      </c>
      <c r="B1522" t="s">
        <v>13</v>
      </c>
      <c r="C1522">
        <v>38</v>
      </c>
      <c r="D1522" t="s">
        <v>10</v>
      </c>
      <c r="E1522" t="str">
        <f ca="1">IF(Table1[[#This Row],[is_smoker]]=0,"non-smoker","smoker")</f>
        <v>non-smoker</v>
      </c>
      <c r="F1522" t="s">
        <v>11</v>
      </c>
      <c r="G1522" s="2">
        <v>1.1544715447154399</v>
      </c>
      <c r="H1522" s="2">
        <v>1108.63276622535</v>
      </c>
    </row>
    <row r="1523" spans="1:8" x14ac:dyDescent="0.3">
      <c r="A1523" t="s">
        <v>1591</v>
      </c>
      <c r="B1523" t="s">
        <v>50</v>
      </c>
      <c r="C1523">
        <v>28</v>
      </c>
      <c r="D1523" t="s">
        <v>17</v>
      </c>
      <c r="E1523" t="str">
        <f ca="1">IF(Table1[[#This Row],[is_smoker]]=0,"non-smoker","smoker")</f>
        <v>non-smoker</v>
      </c>
      <c r="F1523" t="s">
        <v>56</v>
      </c>
      <c r="G1523" s="2">
        <v>0.19512195121951201</v>
      </c>
      <c r="H1523" s="2">
        <v>579.23215525711896</v>
      </c>
    </row>
    <row r="1524" spans="1:8" x14ac:dyDescent="0.3">
      <c r="A1524" t="s">
        <v>1592</v>
      </c>
      <c r="B1524" t="s">
        <v>85</v>
      </c>
      <c r="C1524">
        <v>58</v>
      </c>
      <c r="D1524" t="s">
        <v>10</v>
      </c>
      <c r="E1524" t="str">
        <f ca="1">IF(Table1[[#This Row],[is_smoker]]=0,"non-smoker","smoker")</f>
        <v>non-smoker</v>
      </c>
      <c r="F1524" t="s">
        <v>44</v>
      </c>
      <c r="G1524" s="2">
        <v>1.1341463414634101</v>
      </c>
      <c r="H1524" s="2">
        <v>944.44419120329599</v>
      </c>
    </row>
    <row r="1525" spans="1:8" x14ac:dyDescent="0.3">
      <c r="A1525" t="s">
        <v>1593</v>
      </c>
      <c r="B1525" t="s">
        <v>33</v>
      </c>
      <c r="C1525">
        <v>22</v>
      </c>
      <c r="D1525" t="s">
        <v>17</v>
      </c>
      <c r="E1525" t="str">
        <f ca="1">IF(Table1[[#This Row],[is_smoker]]=0,"non-smoker","smoker")</f>
        <v>non-smoker</v>
      </c>
      <c r="F1525" t="s">
        <v>27</v>
      </c>
      <c r="G1525" s="2">
        <v>0.53252032520325199</v>
      </c>
      <c r="H1525" s="2">
        <v>1649.8782732386401</v>
      </c>
    </row>
    <row r="1526" spans="1:8" x14ac:dyDescent="0.3">
      <c r="A1526" t="s">
        <v>1594</v>
      </c>
      <c r="B1526" t="s">
        <v>166</v>
      </c>
      <c r="C1526">
        <v>33</v>
      </c>
      <c r="D1526" t="s">
        <v>10</v>
      </c>
      <c r="E1526" t="str">
        <f ca="1">IF(Table1[[#This Row],[is_smoker]]=0,"non-smoker","smoker")</f>
        <v>non-smoker</v>
      </c>
      <c r="F1526" t="s">
        <v>24</v>
      </c>
      <c r="G1526" s="2">
        <v>1.70325203252032</v>
      </c>
      <c r="H1526" s="2">
        <v>1694.95320135165</v>
      </c>
    </row>
    <row r="1527" spans="1:8" x14ac:dyDescent="0.3">
      <c r="A1527" t="s">
        <v>1595</v>
      </c>
      <c r="B1527" t="s">
        <v>37</v>
      </c>
      <c r="C1527">
        <v>30</v>
      </c>
      <c r="D1527" t="s">
        <v>10</v>
      </c>
      <c r="E1527" t="str">
        <f ca="1">IF(Table1[[#This Row],[is_smoker]]=0,"non-smoker","smoker")</f>
        <v>non-smoker</v>
      </c>
      <c r="F1527" t="s">
        <v>11</v>
      </c>
      <c r="G1527" s="2">
        <v>1.1544715447154399</v>
      </c>
      <c r="H1527" s="2">
        <v>1173.6716645070201</v>
      </c>
    </row>
    <row r="1528" spans="1:8" x14ac:dyDescent="0.3">
      <c r="A1528" t="s">
        <v>1596</v>
      </c>
      <c r="B1528" t="s">
        <v>50</v>
      </c>
      <c r="C1528">
        <v>19</v>
      </c>
      <c r="D1528" t="s">
        <v>17</v>
      </c>
      <c r="E1528" t="str">
        <f ca="1">IF(Table1[[#This Row],[is_smoker]]=0,"non-smoker","smoker")</f>
        <v>smoker</v>
      </c>
      <c r="F1528" t="s">
        <v>24</v>
      </c>
      <c r="G1528" s="2">
        <v>1.70325203252032</v>
      </c>
      <c r="H1528" s="2">
        <v>5789.5769943493897</v>
      </c>
    </row>
    <row r="1529" spans="1:8" x14ac:dyDescent="0.3">
      <c r="A1529" t="s">
        <v>1597</v>
      </c>
      <c r="B1529" t="s">
        <v>92</v>
      </c>
      <c r="C1529">
        <v>29</v>
      </c>
      <c r="D1529" t="s">
        <v>17</v>
      </c>
      <c r="E1529" t="str">
        <f ca="1">IF(Table1[[#This Row],[is_smoker]]=0,"non-smoker","smoker")</f>
        <v>non-smoker</v>
      </c>
      <c r="F1529" t="s">
        <v>48</v>
      </c>
      <c r="G1529" s="2">
        <v>0.46341463414634099</v>
      </c>
      <c r="H1529" s="2">
        <v>1365.90788905309</v>
      </c>
    </row>
    <row r="1530" spans="1:8" x14ac:dyDescent="0.3">
      <c r="A1530" t="s">
        <v>1598</v>
      </c>
      <c r="B1530" t="s">
        <v>50</v>
      </c>
      <c r="C1530">
        <v>45</v>
      </c>
      <c r="D1530" t="s">
        <v>10</v>
      </c>
      <c r="E1530" t="str">
        <f ca="1">IF(Table1[[#This Row],[is_smoker]]=0,"non-smoker","smoker")</f>
        <v>non-smoker</v>
      </c>
      <c r="F1530" t="s">
        <v>48</v>
      </c>
      <c r="G1530" s="2">
        <v>0.46341463414634099</v>
      </c>
      <c r="H1530" s="2">
        <v>423.360344358703</v>
      </c>
    </row>
    <row r="1531" spans="1:8" x14ac:dyDescent="0.3">
      <c r="A1531" t="s">
        <v>1599</v>
      </c>
      <c r="B1531" t="s">
        <v>128</v>
      </c>
      <c r="C1531">
        <v>18</v>
      </c>
      <c r="D1531" t="s">
        <v>10</v>
      </c>
      <c r="E1531" t="str">
        <f ca="1">IF(Table1[[#This Row],[is_smoker]]=0,"non-smoker","smoker")</f>
        <v>non-smoker</v>
      </c>
      <c r="F1531" t="s">
        <v>14</v>
      </c>
      <c r="G1531" s="2">
        <v>0.66666666666666596</v>
      </c>
      <c r="H1531" s="2">
        <v>738.261960922968</v>
      </c>
    </row>
    <row r="1532" spans="1:8" x14ac:dyDescent="0.3">
      <c r="A1532" t="s">
        <v>1600</v>
      </c>
      <c r="B1532" t="s">
        <v>43</v>
      </c>
      <c r="C1532">
        <v>47</v>
      </c>
      <c r="D1532" t="s">
        <v>17</v>
      </c>
      <c r="E1532" t="str">
        <f ca="1">IF(Table1[[#This Row],[is_smoker]]=0,"non-smoker","smoker")</f>
        <v>non-smoker</v>
      </c>
      <c r="F1532" t="s">
        <v>56</v>
      </c>
      <c r="G1532" s="2">
        <v>0.19512195121951201</v>
      </c>
      <c r="H1532" s="2">
        <v>505.883195435152</v>
      </c>
    </row>
    <row r="1533" spans="1:8" x14ac:dyDescent="0.3">
      <c r="A1533" t="s">
        <v>1601</v>
      </c>
      <c r="B1533" t="s">
        <v>13</v>
      </c>
      <c r="C1533">
        <v>50</v>
      </c>
      <c r="D1533" t="s">
        <v>17</v>
      </c>
      <c r="E1533" t="str">
        <f ca="1">IF(Table1[[#This Row],[is_smoker]]=0,"non-smoker","smoker")</f>
        <v>non-smoker</v>
      </c>
      <c r="F1533" t="s">
        <v>27</v>
      </c>
      <c r="G1533" s="2">
        <v>0.53252032520325199</v>
      </c>
      <c r="H1533" s="2">
        <v>1351.4367367049001</v>
      </c>
    </row>
    <row r="1534" spans="1:8" x14ac:dyDescent="0.3">
      <c r="A1534" t="s">
        <v>1602</v>
      </c>
      <c r="B1534" t="s">
        <v>13</v>
      </c>
      <c r="C1534">
        <v>53</v>
      </c>
      <c r="D1534" t="s">
        <v>10</v>
      </c>
      <c r="E1534" t="str">
        <f ca="1">IF(Table1[[#This Row],[is_smoker]]=0,"non-smoker","smoker")</f>
        <v>non-smoker</v>
      </c>
      <c r="F1534" t="s">
        <v>61</v>
      </c>
      <c r="G1534" s="2">
        <v>1.61788617886178</v>
      </c>
      <c r="H1534" s="2">
        <v>1396.1416621640899</v>
      </c>
    </row>
    <row r="1535" spans="1:8" x14ac:dyDescent="0.3">
      <c r="A1535" t="s">
        <v>1603</v>
      </c>
      <c r="B1535" t="s">
        <v>85</v>
      </c>
      <c r="C1535">
        <v>26</v>
      </c>
      <c r="D1535" t="s">
        <v>17</v>
      </c>
      <c r="E1535" t="str">
        <f ca="1">IF(Table1[[#This Row],[is_smoker]]=0,"non-smoker","smoker")</f>
        <v>non-smoker</v>
      </c>
      <c r="F1535" t="s">
        <v>11</v>
      </c>
      <c r="G1535" s="2">
        <v>1.1544715447154399</v>
      </c>
      <c r="H1535" s="2">
        <v>3476.3179678502602</v>
      </c>
    </row>
    <row r="1536" spans="1:8" x14ac:dyDescent="0.3">
      <c r="A1536" t="s">
        <v>1604</v>
      </c>
      <c r="B1536" t="s">
        <v>135</v>
      </c>
      <c r="C1536">
        <v>46</v>
      </c>
      <c r="D1536" t="s">
        <v>10</v>
      </c>
      <c r="E1536" t="str">
        <f ca="1">IF(Table1[[#This Row],[is_smoker]]=0,"non-smoker","smoker")</f>
        <v>non-smoker</v>
      </c>
      <c r="F1536" t="s">
        <v>11</v>
      </c>
      <c r="G1536" s="2">
        <v>1.1544715447154399</v>
      </c>
      <c r="H1536" s="2">
        <v>1047.19799200802</v>
      </c>
    </row>
    <row r="1537" spans="1:8" x14ac:dyDescent="0.3">
      <c r="A1537" t="s">
        <v>1605</v>
      </c>
      <c r="B1537" t="s">
        <v>175</v>
      </c>
      <c r="C1537">
        <v>64</v>
      </c>
      <c r="D1537" t="s">
        <v>10</v>
      </c>
      <c r="E1537" t="str">
        <f ca="1">IF(Table1[[#This Row],[is_smoker]]=0,"non-smoker","smoker")</f>
        <v>non-smoker</v>
      </c>
      <c r="F1537" t="s">
        <v>14</v>
      </c>
      <c r="G1537" s="2">
        <v>0.66666666666666596</v>
      </c>
      <c r="H1537" s="2">
        <v>531.92054204358101</v>
      </c>
    </row>
    <row r="1538" spans="1:8" x14ac:dyDescent="0.3">
      <c r="A1538" t="s">
        <v>1606</v>
      </c>
      <c r="B1538" t="s">
        <v>16</v>
      </c>
      <c r="C1538">
        <v>37</v>
      </c>
      <c r="D1538" t="s">
        <v>10</v>
      </c>
      <c r="E1538" t="str">
        <f ca="1">IF(Table1[[#This Row],[is_smoker]]=0,"non-smoker","smoker")</f>
        <v>non-smoker</v>
      </c>
      <c r="F1538" t="s">
        <v>48</v>
      </c>
      <c r="G1538" s="2">
        <v>0.46341463414634099</v>
      </c>
      <c r="H1538" s="2">
        <v>448.19714443542301</v>
      </c>
    </row>
    <row r="1539" spans="1:8" x14ac:dyDescent="0.3">
      <c r="A1539" t="s">
        <v>1607</v>
      </c>
      <c r="B1539" t="s">
        <v>13</v>
      </c>
      <c r="C1539">
        <v>33</v>
      </c>
      <c r="D1539" t="s">
        <v>17</v>
      </c>
      <c r="E1539" t="str">
        <f ca="1">IF(Table1[[#This Row],[is_smoker]]=0,"non-smoker","smoker")</f>
        <v>non-smoker</v>
      </c>
      <c r="F1539" t="s">
        <v>14</v>
      </c>
      <c r="G1539" s="2">
        <v>0.66666666666666596</v>
      </c>
      <c r="H1539" s="2">
        <v>1909.7695097185999</v>
      </c>
    </row>
    <row r="1540" spans="1:8" x14ac:dyDescent="0.3">
      <c r="A1540" t="s">
        <v>1608</v>
      </c>
      <c r="B1540" t="s">
        <v>37</v>
      </c>
      <c r="C1540">
        <v>58</v>
      </c>
      <c r="D1540" t="s">
        <v>10</v>
      </c>
      <c r="E1540" t="str">
        <f ca="1">IF(Table1[[#This Row],[is_smoker]]=0,"non-smoker","smoker")</f>
        <v>non-smoker</v>
      </c>
      <c r="F1540" t="s">
        <v>44</v>
      </c>
      <c r="G1540" s="2">
        <v>1.1341463414634101</v>
      </c>
      <c r="H1540" s="2">
        <v>944.44419120329599</v>
      </c>
    </row>
    <row r="1541" spans="1:8" x14ac:dyDescent="0.3">
      <c r="A1541" t="s">
        <v>1609</v>
      </c>
      <c r="B1541" t="s">
        <v>23</v>
      </c>
      <c r="C1541">
        <v>43</v>
      </c>
      <c r="D1541" t="s">
        <v>10</v>
      </c>
      <c r="E1541" t="str">
        <f ca="1">IF(Table1[[#This Row],[is_smoker]]=0,"non-smoker","smoker")</f>
        <v>non-smoker</v>
      </c>
      <c r="F1541" t="s">
        <v>27</v>
      </c>
      <c r="G1541" s="2">
        <v>0.53252032520325199</v>
      </c>
      <c r="H1541" s="2">
        <v>493.47635412631001</v>
      </c>
    </row>
    <row r="1542" spans="1:8" x14ac:dyDescent="0.3">
      <c r="A1542" t="s">
        <v>1610</v>
      </c>
      <c r="B1542" t="s">
        <v>29</v>
      </c>
      <c r="C1542">
        <v>42</v>
      </c>
      <c r="D1542" t="s">
        <v>17</v>
      </c>
      <c r="E1542" t="str">
        <f ca="1">IF(Table1[[#This Row],[is_smoker]]=0,"non-smoker","smoker")</f>
        <v>non-smoker</v>
      </c>
      <c r="F1542" t="s">
        <v>56</v>
      </c>
      <c r="G1542" s="2">
        <v>0.19512195121951201</v>
      </c>
      <c r="H1542" s="2">
        <v>524.23326028232498</v>
      </c>
    </row>
    <row r="1543" spans="1:8" x14ac:dyDescent="0.3">
      <c r="A1543" t="s">
        <v>1611</v>
      </c>
      <c r="B1543" t="s">
        <v>46</v>
      </c>
      <c r="C1543">
        <v>60</v>
      </c>
      <c r="D1543" t="s">
        <v>17</v>
      </c>
      <c r="E1543" t="str">
        <f ca="1">IF(Table1[[#This Row],[is_smoker]]=0,"non-smoker","smoker")</f>
        <v>non-smoker</v>
      </c>
      <c r="F1543" t="s">
        <v>2004</v>
      </c>
      <c r="G1543" s="2">
        <v>1.2073170731707299</v>
      </c>
      <c r="H1543" s="2">
        <v>2853.2001435924499</v>
      </c>
    </row>
    <row r="1544" spans="1:8" x14ac:dyDescent="0.3">
      <c r="A1544" t="s">
        <v>1612</v>
      </c>
      <c r="B1544" t="s">
        <v>16</v>
      </c>
      <c r="C1544">
        <v>27</v>
      </c>
      <c r="D1544" t="s">
        <v>10</v>
      </c>
      <c r="E1544" t="str">
        <f ca="1">IF(Table1[[#This Row],[is_smoker]]=0,"non-smoker","smoker")</f>
        <v>non-smoker</v>
      </c>
      <c r="F1544" t="s">
        <v>19</v>
      </c>
      <c r="G1544" s="2">
        <v>1.11788617886178</v>
      </c>
      <c r="H1544" s="2">
        <v>1161.0356752213099</v>
      </c>
    </row>
    <row r="1545" spans="1:8" x14ac:dyDescent="0.3">
      <c r="A1545" t="s">
        <v>1613</v>
      </c>
      <c r="B1545" t="s">
        <v>29</v>
      </c>
      <c r="C1545">
        <v>62</v>
      </c>
      <c r="D1545" t="s">
        <v>10</v>
      </c>
      <c r="E1545" t="str">
        <f ca="1">IF(Table1[[#This Row],[is_smoker]]=0,"non-smoker","smoker")</f>
        <v>non-smoker</v>
      </c>
      <c r="F1545" t="s">
        <v>19</v>
      </c>
      <c r="G1545" s="2">
        <v>1.11788617886178</v>
      </c>
      <c r="H1545" s="2">
        <v>904.74321664858803</v>
      </c>
    </row>
    <row r="1546" spans="1:8" x14ac:dyDescent="0.3">
      <c r="A1546" t="s">
        <v>1614</v>
      </c>
      <c r="B1546" t="s">
        <v>63</v>
      </c>
      <c r="C1546">
        <v>37</v>
      </c>
      <c r="D1546" t="s">
        <v>17</v>
      </c>
      <c r="E1546" t="str">
        <f ca="1">IF(Table1[[#This Row],[is_smoker]]=0,"non-smoker","smoker")</f>
        <v>non-smoker</v>
      </c>
      <c r="F1546" t="s">
        <v>14</v>
      </c>
      <c r="G1546" s="2">
        <v>0.66666666666666596</v>
      </c>
      <c r="H1546" s="2">
        <v>1856.1005551461701</v>
      </c>
    </row>
    <row r="1547" spans="1:8" x14ac:dyDescent="0.3">
      <c r="A1547" t="s">
        <v>1615</v>
      </c>
      <c r="B1547" t="s">
        <v>584</v>
      </c>
      <c r="C1547">
        <v>38</v>
      </c>
      <c r="D1547" t="s">
        <v>17</v>
      </c>
      <c r="E1547" t="str">
        <f ca="1">IF(Table1[[#This Row],[is_smoker]]=0,"non-smoker","smoker")</f>
        <v>non-smoker</v>
      </c>
      <c r="F1547" t="s">
        <v>44</v>
      </c>
      <c r="G1547" s="2">
        <v>1.1341463414634101</v>
      </c>
      <c r="H1547" s="2">
        <v>3135.2125735232198</v>
      </c>
    </row>
    <row r="1548" spans="1:8" x14ac:dyDescent="0.3">
      <c r="A1548" t="s">
        <v>1616</v>
      </c>
      <c r="B1548" t="s">
        <v>16</v>
      </c>
      <c r="C1548">
        <v>33</v>
      </c>
      <c r="D1548" t="s">
        <v>17</v>
      </c>
      <c r="E1548" t="str">
        <f ca="1">IF(Table1[[#This Row],[is_smoker]]=0,"non-smoker","smoker")</f>
        <v>non-smoker</v>
      </c>
      <c r="F1548" t="s">
        <v>27</v>
      </c>
      <c r="G1548" s="2">
        <v>0.53252032520325199</v>
      </c>
      <c r="H1548" s="2">
        <v>1525.48662056791</v>
      </c>
    </row>
    <row r="1549" spans="1:8" x14ac:dyDescent="0.3">
      <c r="A1549" t="s">
        <v>1617</v>
      </c>
      <c r="B1549" t="s">
        <v>13</v>
      </c>
      <c r="C1549">
        <v>39</v>
      </c>
      <c r="D1549" t="s">
        <v>10</v>
      </c>
      <c r="E1549" t="str">
        <f ca="1">IF(Table1[[#This Row],[is_smoker]]=0,"non-smoker","smoker")</f>
        <v>non-smoker</v>
      </c>
      <c r="F1549" t="s">
        <v>61</v>
      </c>
      <c r="G1549" s="2">
        <v>1.61788617886178</v>
      </c>
      <c r="H1549" s="2">
        <v>1542.61510149898</v>
      </c>
    </row>
    <row r="1550" spans="1:8" x14ac:dyDescent="0.3">
      <c r="A1550" t="s">
        <v>1618</v>
      </c>
      <c r="B1550" t="s">
        <v>43</v>
      </c>
      <c r="C1550">
        <v>62</v>
      </c>
      <c r="D1550" t="s">
        <v>17</v>
      </c>
      <c r="E1550" t="str">
        <f ca="1">IF(Table1[[#This Row],[is_smoker]]=0,"non-smoker","smoker")</f>
        <v>non-smoker</v>
      </c>
      <c r="F1550" t="s">
        <v>19</v>
      </c>
      <c r="G1550" s="2">
        <v>1.11788617886178</v>
      </c>
      <c r="H1550" s="2">
        <v>2604.4663720820599</v>
      </c>
    </row>
    <row r="1551" spans="1:8" x14ac:dyDescent="0.3">
      <c r="A1551" t="s">
        <v>1619</v>
      </c>
      <c r="B1551" t="s">
        <v>29</v>
      </c>
      <c r="C1551">
        <v>45</v>
      </c>
      <c r="D1551" t="s">
        <v>10</v>
      </c>
      <c r="E1551" t="str">
        <f ca="1">IF(Table1[[#This Row],[is_smoker]]=0,"non-smoker","smoker")</f>
        <v>non-smoker</v>
      </c>
      <c r="F1551" t="s">
        <v>27</v>
      </c>
      <c r="G1551" s="2">
        <v>0.53252032520325199</v>
      </c>
      <c r="H1551" s="2">
        <v>486.49302728938699</v>
      </c>
    </row>
    <row r="1552" spans="1:8" x14ac:dyDescent="0.3">
      <c r="A1552" t="s">
        <v>1620</v>
      </c>
      <c r="B1552" t="s">
        <v>29</v>
      </c>
      <c r="C1552">
        <v>44</v>
      </c>
      <c r="D1552" t="s">
        <v>10</v>
      </c>
      <c r="E1552" t="str">
        <f ca="1">IF(Table1[[#This Row],[is_smoker]]=0,"non-smoker","smoker")</f>
        <v>non-smoker</v>
      </c>
      <c r="F1552" t="s">
        <v>56</v>
      </c>
      <c r="G1552" s="2">
        <v>0.19512195121951201</v>
      </c>
      <c r="H1552" s="2">
        <v>179.53181666099599</v>
      </c>
    </row>
    <row r="1553" spans="1:8" x14ac:dyDescent="0.3">
      <c r="A1553" t="s">
        <v>1621</v>
      </c>
      <c r="B1553" t="s">
        <v>23</v>
      </c>
      <c r="C1553">
        <v>56</v>
      </c>
      <c r="D1553" t="s">
        <v>10</v>
      </c>
      <c r="E1553" t="str">
        <f ca="1">IF(Table1[[#This Row],[is_smoker]]=0,"non-smoker","smoker")</f>
        <v>non-smoker</v>
      </c>
      <c r="F1553" t="s">
        <v>24</v>
      </c>
      <c r="G1553" s="2">
        <v>1.70325203252032</v>
      </c>
      <c r="H1553" s="2">
        <v>1438.7185622598599</v>
      </c>
    </row>
    <row r="1554" spans="1:8" x14ac:dyDescent="0.3">
      <c r="A1554" t="s">
        <v>1622</v>
      </c>
      <c r="B1554" t="s">
        <v>16</v>
      </c>
      <c r="C1554">
        <v>48</v>
      </c>
      <c r="D1554" t="s">
        <v>10</v>
      </c>
      <c r="E1554" t="str">
        <f ca="1">IF(Table1[[#This Row],[is_smoker]]=0,"non-smoker","smoker")</f>
        <v>non-smoker</v>
      </c>
      <c r="F1554" t="s">
        <v>44</v>
      </c>
      <c r="G1554" s="2">
        <v>1.1341463414634101</v>
      </c>
      <c r="H1554" s="2">
        <v>1014.20310695168</v>
      </c>
    </row>
    <row r="1555" spans="1:8" x14ac:dyDescent="0.3">
      <c r="A1555" t="s">
        <v>1623</v>
      </c>
      <c r="B1555" t="s">
        <v>60</v>
      </c>
      <c r="C1555">
        <v>54</v>
      </c>
      <c r="D1555" t="s">
        <v>10</v>
      </c>
      <c r="E1555" t="str">
        <f ca="1">IF(Table1[[#This Row],[is_smoker]]=0,"non-smoker","smoker")</f>
        <v>non-smoker</v>
      </c>
      <c r="F1555" t="s">
        <v>48</v>
      </c>
      <c r="G1555" s="2">
        <v>0.46341463414634099</v>
      </c>
      <c r="H1555" s="2">
        <v>397.06024170226499</v>
      </c>
    </row>
    <row r="1556" spans="1:8" x14ac:dyDescent="0.3">
      <c r="A1556" t="s">
        <v>1624</v>
      </c>
      <c r="B1556" t="s">
        <v>175</v>
      </c>
      <c r="C1556">
        <v>43</v>
      </c>
      <c r="D1556" t="s">
        <v>17</v>
      </c>
      <c r="E1556" t="str">
        <f ca="1">IF(Table1[[#This Row],[is_smoker]]=0,"non-smoker","smoker")</f>
        <v>non-smoker</v>
      </c>
      <c r="F1556" t="s">
        <v>27</v>
      </c>
      <c r="G1556" s="2">
        <v>0.53252032520325199</v>
      </c>
      <c r="H1556" s="2">
        <v>1420.5606033726499</v>
      </c>
    </row>
    <row r="1557" spans="1:8" x14ac:dyDescent="0.3">
      <c r="A1557" t="s">
        <v>1625</v>
      </c>
      <c r="B1557" t="s">
        <v>60</v>
      </c>
      <c r="C1557">
        <v>38</v>
      </c>
      <c r="D1557" t="s">
        <v>10</v>
      </c>
      <c r="E1557" t="str">
        <f ca="1">IF(Table1[[#This Row],[is_smoker]]=0,"non-smoker","smoker")</f>
        <v>non-smoker</v>
      </c>
      <c r="F1557" t="s">
        <v>56</v>
      </c>
      <c r="G1557" s="2">
        <v>0.19512195121951201</v>
      </c>
      <c r="H1557" s="2">
        <v>187.37455203808699</v>
      </c>
    </row>
    <row r="1558" spans="1:8" x14ac:dyDescent="0.3">
      <c r="A1558" t="s">
        <v>1626</v>
      </c>
      <c r="B1558" t="s">
        <v>78</v>
      </c>
      <c r="C1558">
        <v>23</v>
      </c>
      <c r="D1558" t="s">
        <v>10</v>
      </c>
      <c r="E1558" t="str">
        <f ca="1">IF(Table1[[#This Row],[is_smoker]]=0,"non-smoker","smoker")</f>
        <v>non-smoker</v>
      </c>
      <c r="F1558" t="s">
        <v>61</v>
      </c>
      <c r="G1558" s="2">
        <v>1.61788617886178</v>
      </c>
      <c r="H1558" s="2">
        <v>1728.9219877114799</v>
      </c>
    </row>
    <row r="1559" spans="1:8" x14ac:dyDescent="0.3">
      <c r="A1559" t="s">
        <v>1627</v>
      </c>
      <c r="B1559" t="s">
        <v>13</v>
      </c>
      <c r="C1559">
        <v>31</v>
      </c>
      <c r="D1559" t="s">
        <v>10</v>
      </c>
      <c r="E1559" t="str">
        <f ca="1">IF(Table1[[#This Row],[is_smoker]]=0,"non-smoker","smoker")</f>
        <v>non-smoker</v>
      </c>
      <c r="F1559" t="s">
        <v>2004</v>
      </c>
      <c r="G1559" s="2">
        <v>1.2073170731707299</v>
      </c>
      <c r="H1559" s="2">
        <v>1218.6805090272501</v>
      </c>
    </row>
    <row r="1560" spans="1:8" x14ac:dyDescent="0.3">
      <c r="A1560" t="s">
        <v>1628</v>
      </c>
      <c r="B1560" t="s">
        <v>13</v>
      </c>
      <c r="C1560">
        <v>39</v>
      </c>
      <c r="D1560" t="s">
        <v>17</v>
      </c>
      <c r="E1560" t="str">
        <f ca="1">IF(Table1[[#This Row],[is_smoker]]=0,"non-smoker","smoker")</f>
        <v>non-smoker</v>
      </c>
      <c r="F1560" t="s">
        <v>48</v>
      </c>
      <c r="G1560" s="2">
        <v>0.46341463414634099</v>
      </c>
      <c r="H1560" s="2">
        <v>1271.9580157984999</v>
      </c>
    </row>
    <row r="1561" spans="1:8" x14ac:dyDescent="0.3">
      <c r="A1561" t="s">
        <v>1629</v>
      </c>
      <c r="B1561" t="s">
        <v>46</v>
      </c>
      <c r="C1561">
        <v>36</v>
      </c>
      <c r="D1561" t="s">
        <v>10</v>
      </c>
      <c r="E1561" t="str">
        <f ca="1">IF(Table1[[#This Row],[is_smoker]]=0,"non-smoker","smoker")</f>
        <v>non-smoker</v>
      </c>
      <c r="F1561" t="s">
        <v>2004</v>
      </c>
      <c r="G1561" s="2">
        <v>1.2073170731707299</v>
      </c>
      <c r="H1561" s="2">
        <v>1176.02227258382</v>
      </c>
    </row>
    <row r="1562" spans="1:8" x14ac:dyDescent="0.3">
      <c r="A1562" t="s">
        <v>1630</v>
      </c>
      <c r="B1562" t="s">
        <v>243</v>
      </c>
      <c r="C1562">
        <v>48</v>
      </c>
      <c r="D1562" t="s">
        <v>17</v>
      </c>
      <c r="E1562" t="str">
        <f ca="1">IF(Table1[[#This Row],[is_smoker]]=0,"non-smoker","smoker")</f>
        <v>non-smoker</v>
      </c>
      <c r="F1562" t="s">
        <v>61</v>
      </c>
      <c r="G1562" s="2">
        <v>1.61788617886178</v>
      </c>
      <c r="H1562" s="2">
        <v>4164.8294732904897</v>
      </c>
    </row>
    <row r="1563" spans="1:8" x14ac:dyDescent="0.3">
      <c r="A1563" t="s">
        <v>1631</v>
      </c>
      <c r="B1563" t="s">
        <v>92</v>
      </c>
      <c r="C1563">
        <v>46</v>
      </c>
      <c r="D1563" t="s">
        <v>17</v>
      </c>
      <c r="E1563" t="str">
        <f ca="1">IF(Table1[[#This Row],[is_smoker]]=0,"non-smoker","smoker")</f>
        <v>non-smoker</v>
      </c>
      <c r="F1563" t="s">
        <v>56</v>
      </c>
      <c r="G1563" s="2">
        <v>0.19512195121951201</v>
      </c>
      <c r="H1563" s="2">
        <v>509.50108925944699</v>
      </c>
    </row>
    <row r="1564" spans="1:8" x14ac:dyDescent="0.3">
      <c r="A1564" t="s">
        <v>1632</v>
      </c>
      <c r="B1564" t="s">
        <v>128</v>
      </c>
      <c r="C1564">
        <v>52</v>
      </c>
      <c r="D1564" t="s">
        <v>17</v>
      </c>
      <c r="E1564" t="str">
        <f ca="1">IF(Table1[[#This Row],[is_smoker]]=0,"non-smoker","smoker")</f>
        <v>non-smoker</v>
      </c>
      <c r="F1564" t="s">
        <v>19</v>
      </c>
      <c r="G1564" s="2">
        <v>1.11788617886178</v>
      </c>
      <c r="H1564" s="2">
        <v>2796.8385121320898</v>
      </c>
    </row>
    <row r="1565" spans="1:8" x14ac:dyDescent="0.3">
      <c r="A1565" t="s">
        <v>1633</v>
      </c>
      <c r="B1565" t="s">
        <v>502</v>
      </c>
      <c r="C1565">
        <v>53</v>
      </c>
      <c r="D1565" t="s">
        <v>17</v>
      </c>
      <c r="E1565" t="str">
        <f ca="1">IF(Table1[[#This Row],[is_smoker]]=0,"non-smoker","smoker")</f>
        <v>non-smoker</v>
      </c>
      <c r="F1565" t="s">
        <v>2004</v>
      </c>
      <c r="G1565" s="2">
        <v>1.2073170731707299</v>
      </c>
      <c r="H1565" s="2">
        <v>2999.1368500216099</v>
      </c>
    </row>
    <row r="1566" spans="1:8" x14ac:dyDescent="0.3">
      <c r="A1566" t="s">
        <v>1634</v>
      </c>
      <c r="B1566" t="s">
        <v>50</v>
      </c>
      <c r="C1566">
        <v>58</v>
      </c>
      <c r="D1566" t="s">
        <v>17</v>
      </c>
      <c r="E1566" t="str">
        <f ca="1">IF(Table1[[#This Row],[is_smoker]]=0,"non-smoker","smoker")</f>
        <v>non-smoker</v>
      </c>
      <c r="F1566" t="s">
        <v>48</v>
      </c>
      <c r="G1566" s="2">
        <v>0.46341463414634099</v>
      </c>
      <c r="H1566" s="2">
        <v>1110.8882330710201</v>
      </c>
    </row>
    <row r="1567" spans="1:8" x14ac:dyDescent="0.3">
      <c r="A1567" t="s">
        <v>1635</v>
      </c>
      <c r="B1567" t="s">
        <v>90</v>
      </c>
      <c r="C1567">
        <v>29</v>
      </c>
      <c r="D1567" t="s">
        <v>10</v>
      </c>
      <c r="E1567" t="str">
        <f ca="1">IF(Table1[[#This Row],[is_smoker]]=0,"non-smoker","smoker")</f>
        <v>non-smoker</v>
      </c>
      <c r="F1567" t="s">
        <v>14</v>
      </c>
      <c r="G1567" s="2">
        <v>0.66666666666666596</v>
      </c>
      <c r="H1567" s="2">
        <v>682.60111193022396</v>
      </c>
    </row>
    <row r="1568" spans="1:8" x14ac:dyDescent="0.3">
      <c r="A1568" t="s">
        <v>1636</v>
      </c>
      <c r="B1568" t="s">
        <v>85</v>
      </c>
      <c r="C1568">
        <v>58</v>
      </c>
      <c r="D1568" t="s">
        <v>10</v>
      </c>
      <c r="E1568" t="str">
        <f ca="1">IF(Table1[[#This Row],[is_smoker]]=0,"non-smoker","smoker")</f>
        <v>non-smoker</v>
      </c>
      <c r="F1568" t="s">
        <v>11</v>
      </c>
      <c r="G1568" s="2">
        <v>1.1544715447154399</v>
      </c>
      <c r="H1568" s="2">
        <v>961.36971434314</v>
      </c>
    </row>
    <row r="1569" spans="1:8" x14ac:dyDescent="0.3">
      <c r="A1569" t="s">
        <v>1637</v>
      </c>
      <c r="B1569" t="s">
        <v>92</v>
      </c>
      <c r="C1569">
        <v>25</v>
      </c>
      <c r="D1569" t="s">
        <v>10</v>
      </c>
      <c r="E1569" t="str">
        <f ca="1">IF(Table1[[#This Row],[is_smoker]]=0,"non-smoker","smoker")</f>
        <v>non-smoker</v>
      </c>
      <c r="F1569" t="s">
        <v>27</v>
      </c>
      <c r="G1569" s="2">
        <v>0.53252032520325199</v>
      </c>
      <c r="H1569" s="2">
        <v>561.01425138162006</v>
      </c>
    </row>
    <row r="1570" spans="1:8" x14ac:dyDescent="0.3">
      <c r="A1570" t="s">
        <v>1638</v>
      </c>
      <c r="B1570" t="s">
        <v>113</v>
      </c>
      <c r="C1570">
        <v>42</v>
      </c>
      <c r="D1570" t="s">
        <v>10</v>
      </c>
      <c r="E1570" t="str">
        <f ca="1">IF(Table1[[#This Row],[is_smoker]]=0,"non-smoker","smoker")</f>
        <v>non-smoker</v>
      </c>
      <c r="F1570" t="s">
        <v>19</v>
      </c>
      <c r="G1570" s="2">
        <v>1.11788617886178</v>
      </c>
      <c r="H1570" s="2">
        <v>1043.33219575371</v>
      </c>
    </row>
    <row r="1571" spans="1:8" x14ac:dyDescent="0.3">
      <c r="A1571" t="s">
        <v>1639</v>
      </c>
      <c r="B1571" t="s">
        <v>60</v>
      </c>
      <c r="C1571">
        <v>45</v>
      </c>
      <c r="D1571" t="s">
        <v>17</v>
      </c>
      <c r="E1571" t="str">
        <f ca="1">IF(Table1[[#This Row],[is_smoker]]=0,"non-smoker","smoker")</f>
        <v>non-smoker</v>
      </c>
      <c r="F1571" t="s">
        <v>2004</v>
      </c>
      <c r="G1571" s="2">
        <v>1.2073170731707299</v>
      </c>
      <c r="H1571" s="2">
        <v>3175.0838023974802</v>
      </c>
    </row>
    <row r="1572" spans="1:8" x14ac:dyDescent="0.3">
      <c r="A1572" t="s">
        <v>1640</v>
      </c>
      <c r="B1572" t="s">
        <v>50</v>
      </c>
      <c r="C1572">
        <v>54</v>
      </c>
      <c r="D1572" t="s">
        <v>17</v>
      </c>
      <c r="E1572" t="str">
        <f ca="1">IF(Table1[[#This Row],[is_smoker]]=0,"non-smoker","smoker")</f>
        <v>non-smoker</v>
      </c>
      <c r="F1572" t="s">
        <v>24</v>
      </c>
      <c r="G1572" s="2">
        <v>1.70325203252032</v>
      </c>
      <c r="H1572" s="2">
        <v>4201.0610517374898</v>
      </c>
    </row>
    <row r="1573" spans="1:8" x14ac:dyDescent="0.3">
      <c r="A1573" t="s">
        <v>1641</v>
      </c>
      <c r="B1573" t="s">
        <v>29</v>
      </c>
      <c r="C1573">
        <v>21</v>
      </c>
      <c r="D1573" t="s">
        <v>17</v>
      </c>
      <c r="E1573" t="str">
        <f ca="1">IF(Table1[[#This Row],[is_smoker]]=0,"non-smoker","smoker")</f>
        <v>non-smoker</v>
      </c>
      <c r="F1573" t="s">
        <v>27</v>
      </c>
      <c r="G1573" s="2">
        <v>0.53252032520325199</v>
      </c>
      <c r="H1573" s="2">
        <v>1661.6776065026199</v>
      </c>
    </row>
    <row r="1574" spans="1:8" x14ac:dyDescent="0.3">
      <c r="A1574" t="s">
        <v>1642</v>
      </c>
      <c r="B1574" t="s">
        <v>157</v>
      </c>
      <c r="C1574">
        <v>21</v>
      </c>
      <c r="D1574" t="s">
        <v>10</v>
      </c>
      <c r="E1574" t="str">
        <f ca="1">IF(Table1[[#This Row],[is_smoker]]=0,"non-smoker","smoker")</f>
        <v>non-smoker</v>
      </c>
      <c r="F1574" t="s">
        <v>14</v>
      </c>
      <c r="G1574" s="2">
        <v>0.66666666666666596</v>
      </c>
      <c r="H1574" s="2">
        <v>722.64649543169298</v>
      </c>
    </row>
    <row r="1575" spans="1:8" x14ac:dyDescent="0.3">
      <c r="A1575" t="s">
        <v>1643</v>
      </c>
      <c r="B1575" t="s">
        <v>85</v>
      </c>
      <c r="C1575">
        <v>23</v>
      </c>
      <c r="D1575" t="s">
        <v>10</v>
      </c>
      <c r="E1575" t="str">
        <f ca="1">IF(Table1[[#This Row],[is_smoker]]=0,"non-smoker","smoker")</f>
        <v>non-smoker</v>
      </c>
      <c r="F1575" t="s">
        <v>61</v>
      </c>
      <c r="G1575" s="2">
        <v>1.61788617886178</v>
      </c>
      <c r="H1575" s="2">
        <v>1728.9219877114799</v>
      </c>
    </row>
    <row r="1576" spans="1:8" x14ac:dyDescent="0.3">
      <c r="A1576" t="s">
        <v>1644</v>
      </c>
      <c r="B1576" t="s">
        <v>29</v>
      </c>
      <c r="C1576">
        <v>54</v>
      </c>
      <c r="D1576" t="s">
        <v>17</v>
      </c>
      <c r="E1576" t="str">
        <f ca="1">IF(Table1[[#This Row],[is_smoker]]=0,"non-smoker","smoker")</f>
        <v>non-smoker</v>
      </c>
      <c r="F1576" t="s">
        <v>11</v>
      </c>
      <c r="G1576" s="2">
        <v>1.1544715447154399</v>
      </c>
      <c r="H1576" s="2">
        <v>2847.4972283853199</v>
      </c>
    </row>
    <row r="1577" spans="1:8" x14ac:dyDescent="0.3">
      <c r="A1577" t="s">
        <v>1645</v>
      </c>
      <c r="B1577" t="s">
        <v>106</v>
      </c>
      <c r="C1577">
        <v>54</v>
      </c>
      <c r="D1577" t="s">
        <v>10</v>
      </c>
      <c r="E1577" t="str">
        <f ca="1">IF(Table1[[#This Row],[is_smoker]]=0,"non-smoker","smoker")</f>
        <v>non-smoker</v>
      </c>
      <c r="F1577" t="s">
        <v>56</v>
      </c>
      <c r="G1577" s="2">
        <v>0.19512195121951201</v>
      </c>
      <c r="H1577" s="2">
        <v>167.18325966411101</v>
      </c>
    </row>
    <row r="1578" spans="1:8" x14ac:dyDescent="0.3">
      <c r="A1578" t="s">
        <v>1646</v>
      </c>
      <c r="B1578" t="s">
        <v>46</v>
      </c>
      <c r="C1578">
        <v>52</v>
      </c>
      <c r="D1578" t="s">
        <v>10</v>
      </c>
      <c r="E1578" t="str">
        <f ca="1">IF(Table1[[#This Row],[is_smoker]]=0,"non-smoker","smoker")</f>
        <v>non-smoker</v>
      </c>
      <c r="F1578" t="s">
        <v>14</v>
      </c>
      <c r="G1578" s="2">
        <v>0.66666666666666596</v>
      </c>
      <c r="H1578" s="2">
        <v>579.40885304094297</v>
      </c>
    </row>
    <row r="1579" spans="1:8" x14ac:dyDescent="0.3">
      <c r="A1579" t="s">
        <v>1647</v>
      </c>
      <c r="B1579" t="s">
        <v>272</v>
      </c>
      <c r="C1579">
        <v>45</v>
      </c>
      <c r="D1579" t="s">
        <v>10</v>
      </c>
      <c r="E1579" t="str">
        <f ca="1">IF(Table1[[#This Row],[is_smoker]]=0,"non-smoker","smoker")</f>
        <v>non-smoker</v>
      </c>
      <c r="F1579" t="s">
        <v>14</v>
      </c>
      <c r="G1579" s="2">
        <v>0.66666666666666596</v>
      </c>
      <c r="H1579" s="2">
        <v>609.04470591953805</v>
      </c>
    </row>
    <row r="1580" spans="1:8" x14ac:dyDescent="0.3">
      <c r="A1580" t="s">
        <v>1648</v>
      </c>
      <c r="B1580" t="s">
        <v>113</v>
      </c>
      <c r="C1580">
        <v>45</v>
      </c>
      <c r="D1580" t="s">
        <v>17</v>
      </c>
      <c r="E1580" t="str">
        <f ca="1">IF(Table1[[#This Row],[is_smoker]]=0,"non-smoker","smoker")</f>
        <v>non-smoker</v>
      </c>
      <c r="F1580" t="s">
        <v>61</v>
      </c>
      <c r="G1580" s="2">
        <v>1.61788617886178</v>
      </c>
      <c r="H1580" s="2">
        <v>4254.8261055696903</v>
      </c>
    </row>
    <row r="1581" spans="1:8" x14ac:dyDescent="0.3">
      <c r="A1581" t="s">
        <v>1649</v>
      </c>
      <c r="B1581" t="s">
        <v>110</v>
      </c>
      <c r="C1581">
        <v>28</v>
      </c>
      <c r="D1581" t="s">
        <v>10</v>
      </c>
      <c r="E1581" t="str">
        <f ca="1">IF(Table1[[#This Row],[is_smoker]]=0,"non-smoker","smoker")</f>
        <v>non-smoker</v>
      </c>
      <c r="F1581" t="s">
        <v>44</v>
      </c>
      <c r="G1581" s="2">
        <v>1.1341463414634101</v>
      </c>
      <c r="H1581" s="2">
        <v>1169.55920204167</v>
      </c>
    </row>
    <row r="1582" spans="1:8" x14ac:dyDescent="0.3">
      <c r="A1582" t="s">
        <v>1650</v>
      </c>
      <c r="B1582" t="s">
        <v>106</v>
      </c>
      <c r="C1582">
        <v>38</v>
      </c>
      <c r="D1582" t="s">
        <v>17</v>
      </c>
      <c r="E1582" t="str">
        <f ca="1">IF(Table1[[#This Row],[is_smoker]]=0,"non-smoker","smoker")</f>
        <v>non-smoker</v>
      </c>
      <c r="F1582" t="s">
        <v>61</v>
      </c>
      <c r="G1582" s="2">
        <v>1.61788617886178</v>
      </c>
      <c r="H1582" s="2">
        <v>4472.4537787177196</v>
      </c>
    </row>
    <row r="1583" spans="1:8" x14ac:dyDescent="0.3">
      <c r="A1583" t="s">
        <v>1651</v>
      </c>
      <c r="B1583" t="s">
        <v>82</v>
      </c>
      <c r="C1583">
        <v>46</v>
      </c>
      <c r="D1583" t="s">
        <v>10</v>
      </c>
      <c r="E1583" t="str">
        <f ca="1">IF(Table1[[#This Row],[is_smoker]]=0,"non-smoker","smoker")</f>
        <v>non-smoker</v>
      </c>
      <c r="F1583" t="s">
        <v>44</v>
      </c>
      <c r="G1583" s="2">
        <v>1.1341463414634101</v>
      </c>
      <c r="H1583" s="2">
        <v>1028.7614076416801</v>
      </c>
    </row>
    <row r="1584" spans="1:8" x14ac:dyDescent="0.3">
      <c r="A1584" t="s">
        <v>1652</v>
      </c>
      <c r="B1584" t="s">
        <v>50</v>
      </c>
      <c r="C1584">
        <v>34</v>
      </c>
      <c r="D1584" t="s">
        <v>17</v>
      </c>
      <c r="E1584" t="str">
        <f ca="1">IF(Table1[[#This Row],[is_smoker]]=0,"non-smoker","smoker")</f>
        <v>non-smoker</v>
      </c>
      <c r="F1584" t="s">
        <v>44</v>
      </c>
      <c r="G1584" s="2">
        <v>1.1341463414634101</v>
      </c>
      <c r="H1584" s="2">
        <v>3225.8669191171698</v>
      </c>
    </row>
    <row r="1585" spans="1:8" x14ac:dyDescent="0.3">
      <c r="A1585" t="s">
        <v>1653</v>
      </c>
      <c r="B1585" t="s">
        <v>82</v>
      </c>
      <c r="C1585">
        <v>49</v>
      </c>
      <c r="D1585" t="s">
        <v>10</v>
      </c>
      <c r="E1585" t="str">
        <f ca="1">IF(Table1[[#This Row],[is_smoker]]=0,"non-smoker","smoker")</f>
        <v>non-smoker</v>
      </c>
      <c r="F1585" t="s">
        <v>19</v>
      </c>
      <c r="G1585" s="2">
        <v>1.11788617886178</v>
      </c>
      <c r="H1585" s="2">
        <v>992.56410080709202</v>
      </c>
    </row>
    <row r="1586" spans="1:8" x14ac:dyDescent="0.3">
      <c r="A1586" t="s">
        <v>1654</v>
      </c>
      <c r="B1586" t="s">
        <v>23</v>
      </c>
      <c r="C1586">
        <v>58</v>
      </c>
      <c r="D1586" t="s">
        <v>17</v>
      </c>
      <c r="E1586" t="str">
        <f ca="1">IF(Table1[[#This Row],[is_smoker]]=0,"non-smoker","smoker")</f>
        <v>non-smoker</v>
      </c>
      <c r="F1586" t="s">
        <v>19</v>
      </c>
      <c r="G1586" s="2">
        <v>1.11788617886178</v>
      </c>
      <c r="H1586" s="2">
        <v>2679.7742464432699</v>
      </c>
    </row>
    <row r="1587" spans="1:8" x14ac:dyDescent="0.3">
      <c r="A1587" t="s">
        <v>1655</v>
      </c>
      <c r="B1587" t="s">
        <v>29</v>
      </c>
      <c r="C1587">
        <v>28</v>
      </c>
      <c r="D1587" t="s">
        <v>10</v>
      </c>
      <c r="E1587" t="str">
        <f ca="1">IF(Table1[[#This Row],[is_smoker]]=0,"non-smoker","smoker")</f>
        <v>non-smoker</v>
      </c>
      <c r="F1587" t="s">
        <v>48</v>
      </c>
      <c r="G1587" s="2">
        <v>0.46341463414634099</v>
      </c>
      <c r="H1587" s="2">
        <v>477.88440513530702</v>
      </c>
    </row>
    <row r="1588" spans="1:8" x14ac:dyDescent="0.3">
      <c r="A1588" t="s">
        <v>1656</v>
      </c>
      <c r="B1588" t="s">
        <v>29</v>
      </c>
      <c r="C1588">
        <v>64</v>
      </c>
      <c r="D1588" t="s">
        <v>10</v>
      </c>
      <c r="E1588" t="str">
        <f ca="1">IF(Table1[[#This Row],[is_smoker]]=0,"non-smoker","smoker")</f>
        <v>non-smoker</v>
      </c>
      <c r="F1588" t="s">
        <v>2004</v>
      </c>
      <c r="G1588" s="2">
        <v>1.2073170731707299</v>
      </c>
      <c r="H1588" s="2">
        <v>963.29512796916799</v>
      </c>
    </row>
    <row r="1589" spans="1:8" x14ac:dyDescent="0.3">
      <c r="A1589" t="s">
        <v>1657</v>
      </c>
      <c r="B1589" t="s">
        <v>135</v>
      </c>
      <c r="C1589">
        <v>53</v>
      </c>
      <c r="D1589" t="s">
        <v>10</v>
      </c>
      <c r="E1589" t="str">
        <f ca="1">IF(Table1[[#This Row],[is_smoker]]=0,"non-smoker","smoker")</f>
        <v>non-smoker</v>
      </c>
      <c r="F1589" t="s">
        <v>2004</v>
      </c>
      <c r="G1589" s="2">
        <v>1.2073170731707299</v>
      </c>
      <c r="H1589" s="2">
        <v>1041.8444061877699</v>
      </c>
    </row>
    <row r="1590" spans="1:8" x14ac:dyDescent="0.3">
      <c r="A1590" t="s">
        <v>1658</v>
      </c>
      <c r="B1590" t="s">
        <v>46</v>
      </c>
      <c r="C1590">
        <v>42</v>
      </c>
      <c r="D1590" t="s">
        <v>10</v>
      </c>
      <c r="E1590" t="str">
        <f ca="1">IF(Table1[[#This Row],[is_smoker]]=0,"non-smoker","smoker")</f>
        <v>non-smoker</v>
      </c>
      <c r="F1590" t="s">
        <v>56</v>
      </c>
      <c r="G1590" s="2">
        <v>0.19512195121951201</v>
      </c>
      <c r="H1590" s="2">
        <v>182.108892349738</v>
      </c>
    </row>
    <row r="1591" spans="1:8" x14ac:dyDescent="0.3">
      <c r="A1591" t="s">
        <v>1659</v>
      </c>
      <c r="B1591" t="s">
        <v>13</v>
      </c>
      <c r="C1591">
        <v>28</v>
      </c>
      <c r="D1591" t="s">
        <v>17</v>
      </c>
      <c r="E1591" t="str">
        <f ca="1">IF(Table1[[#This Row],[is_smoker]]=0,"non-smoker","smoker")</f>
        <v>non-smoker</v>
      </c>
      <c r="F1591" t="s">
        <v>2004</v>
      </c>
      <c r="G1591" s="2">
        <v>1.2073170731707299</v>
      </c>
      <c r="H1591" s="2">
        <v>3583.99896065342</v>
      </c>
    </row>
    <row r="1592" spans="1:8" x14ac:dyDescent="0.3">
      <c r="A1592" t="s">
        <v>1660</v>
      </c>
      <c r="B1592" t="s">
        <v>65</v>
      </c>
      <c r="C1592">
        <v>47</v>
      </c>
      <c r="D1592" t="s">
        <v>10</v>
      </c>
      <c r="E1592" t="str">
        <f ca="1">IF(Table1[[#This Row],[is_smoker]]=0,"non-smoker","smoker")</f>
        <v>non-smoker</v>
      </c>
      <c r="F1592" t="s">
        <v>19</v>
      </c>
      <c r="G1592" s="2">
        <v>1.11788617886178</v>
      </c>
      <c r="H1592" s="2">
        <v>1006.81178604351</v>
      </c>
    </row>
    <row r="1593" spans="1:8" x14ac:dyDescent="0.3">
      <c r="A1593" t="s">
        <v>1661</v>
      </c>
      <c r="B1593" t="s">
        <v>23</v>
      </c>
      <c r="C1593">
        <v>27</v>
      </c>
      <c r="D1593" t="s">
        <v>10</v>
      </c>
      <c r="E1593" t="str">
        <f ca="1">IF(Table1[[#This Row],[is_smoker]]=0,"non-smoker","smoker")</f>
        <v>non-smoker</v>
      </c>
      <c r="F1593" t="s">
        <v>48</v>
      </c>
      <c r="G1593" s="2">
        <v>0.46341463414634099</v>
      </c>
      <c r="H1593" s="2">
        <v>481.30206172810699</v>
      </c>
    </row>
    <row r="1594" spans="1:8" x14ac:dyDescent="0.3">
      <c r="A1594" t="s">
        <v>1662</v>
      </c>
      <c r="B1594" t="s">
        <v>85</v>
      </c>
      <c r="C1594">
        <v>18</v>
      </c>
      <c r="D1594" t="s">
        <v>17</v>
      </c>
      <c r="E1594" t="str">
        <f ca="1">IF(Table1[[#This Row],[is_smoker]]=0,"non-smoker","smoker")</f>
        <v>non-smoker</v>
      </c>
      <c r="F1594" t="s">
        <v>48</v>
      </c>
      <c r="G1594" s="2">
        <v>0.46341463414634099</v>
      </c>
      <c r="H1594" s="2">
        <v>1477.28712858523</v>
      </c>
    </row>
    <row r="1595" spans="1:8" x14ac:dyDescent="0.3">
      <c r="A1595" t="s">
        <v>1663</v>
      </c>
      <c r="B1595" t="s">
        <v>60</v>
      </c>
      <c r="C1595">
        <v>29</v>
      </c>
      <c r="D1595" t="s">
        <v>10</v>
      </c>
      <c r="E1595" t="str">
        <f ca="1">IF(Table1[[#This Row],[is_smoker]]=0,"non-smoker","smoker")</f>
        <v>non-smoker</v>
      </c>
      <c r="F1595" t="s">
        <v>44</v>
      </c>
      <c r="G1595" s="2">
        <v>1.1341463414634101</v>
      </c>
      <c r="H1595" s="2">
        <v>1161.2543306617799</v>
      </c>
    </row>
    <row r="1596" spans="1:8" x14ac:dyDescent="0.3">
      <c r="A1596" t="s">
        <v>1664</v>
      </c>
      <c r="B1596" t="s">
        <v>90</v>
      </c>
      <c r="C1596">
        <v>64</v>
      </c>
      <c r="D1596" t="s">
        <v>17</v>
      </c>
      <c r="E1596" t="str">
        <f ca="1">IF(Table1[[#This Row],[is_smoker]]=0,"non-smoker","smoker")</f>
        <v>non-smoker</v>
      </c>
      <c r="F1596" t="s">
        <v>61</v>
      </c>
      <c r="G1596" s="2">
        <v>1.61788617886178</v>
      </c>
      <c r="H1596" s="2">
        <v>3716.0316580681501</v>
      </c>
    </row>
    <row r="1597" spans="1:8" x14ac:dyDescent="0.3">
      <c r="A1597" t="s">
        <v>1665</v>
      </c>
      <c r="B1597" t="s">
        <v>584</v>
      </c>
      <c r="C1597">
        <v>53</v>
      </c>
      <c r="D1597" t="s">
        <v>17</v>
      </c>
      <c r="E1597" t="str">
        <f ca="1">IF(Table1[[#This Row],[is_smoker]]=0,"non-smoker","smoker")</f>
        <v>non-smoker</v>
      </c>
      <c r="F1597" t="s">
        <v>56</v>
      </c>
      <c r="G1597" s="2">
        <v>0.19512195121951201</v>
      </c>
      <c r="H1597" s="2">
        <v>484.70898586207898</v>
      </c>
    </row>
    <row r="1598" spans="1:8" x14ac:dyDescent="0.3">
      <c r="A1598" t="s">
        <v>1666</v>
      </c>
      <c r="B1598" t="s">
        <v>43</v>
      </c>
      <c r="C1598">
        <v>21</v>
      </c>
      <c r="D1598" t="s">
        <v>17</v>
      </c>
      <c r="E1598" t="str">
        <f ca="1">IF(Table1[[#This Row],[is_smoker]]=0,"non-smoker","smoker")</f>
        <v>non-smoker</v>
      </c>
      <c r="F1598" t="s">
        <v>44</v>
      </c>
      <c r="G1598" s="2">
        <v>1.1341463414634101</v>
      </c>
      <c r="H1598" s="2">
        <v>3538.9927649941401</v>
      </c>
    </row>
    <row r="1599" spans="1:8" x14ac:dyDescent="0.3">
      <c r="A1599" t="s">
        <v>1667</v>
      </c>
      <c r="B1599" t="s">
        <v>43</v>
      </c>
      <c r="C1599">
        <v>47</v>
      </c>
      <c r="D1599" t="s">
        <v>10</v>
      </c>
      <c r="E1599" t="str">
        <f ca="1">IF(Table1[[#This Row],[is_smoker]]=0,"non-smoker","smoker")</f>
        <v>non-smoker</v>
      </c>
      <c r="F1599" t="s">
        <v>61</v>
      </c>
      <c r="G1599" s="2">
        <v>1.61788617886178</v>
      </c>
      <c r="H1599" s="2">
        <v>1457.13123943752</v>
      </c>
    </row>
    <row r="1600" spans="1:8" x14ac:dyDescent="0.3">
      <c r="A1600" t="s">
        <v>1668</v>
      </c>
      <c r="B1600" t="s">
        <v>29</v>
      </c>
      <c r="C1600">
        <v>52</v>
      </c>
      <c r="D1600" t="s">
        <v>17</v>
      </c>
      <c r="E1600" t="str">
        <f ca="1">IF(Table1[[#This Row],[is_smoker]]=0,"non-smoker","smoker")</f>
        <v>non-smoker</v>
      </c>
      <c r="F1600" t="s">
        <v>2004</v>
      </c>
      <c r="G1600" s="2">
        <v>1.2073170731707299</v>
      </c>
      <c r="H1600" s="2">
        <v>3020.5855931026499</v>
      </c>
    </row>
    <row r="1601" spans="1:8" x14ac:dyDescent="0.3">
      <c r="A1601" t="s">
        <v>1669</v>
      </c>
      <c r="B1601" t="s">
        <v>43</v>
      </c>
      <c r="C1601">
        <v>20</v>
      </c>
      <c r="D1601" t="s">
        <v>17</v>
      </c>
      <c r="E1601" t="str">
        <f ca="1">IF(Table1[[#This Row],[is_smoker]]=0,"non-smoker","smoker")</f>
        <v>smoker</v>
      </c>
      <c r="F1601" t="s">
        <v>44</v>
      </c>
      <c r="G1601" s="2">
        <v>1.1341463414634101</v>
      </c>
      <c r="H1601" s="2">
        <v>3827.73753174176</v>
      </c>
    </row>
    <row r="1602" spans="1:8" x14ac:dyDescent="0.3">
      <c r="A1602" t="s">
        <v>1670</v>
      </c>
      <c r="B1602" t="s">
        <v>113</v>
      </c>
      <c r="C1602">
        <v>22</v>
      </c>
      <c r="D1602" t="s">
        <v>10</v>
      </c>
      <c r="E1602" t="str">
        <f ca="1">IF(Table1[[#This Row],[is_smoker]]=0,"non-smoker","smoker")</f>
        <v>non-smoker</v>
      </c>
      <c r="F1602" t="s">
        <v>27</v>
      </c>
      <c r="G1602" s="2">
        <v>0.53252032520325199</v>
      </c>
      <c r="H1602" s="2">
        <v>573.13705103254802</v>
      </c>
    </row>
    <row r="1603" spans="1:8" x14ac:dyDescent="0.3">
      <c r="A1603" t="s">
        <v>1671</v>
      </c>
      <c r="B1603" t="s">
        <v>29</v>
      </c>
      <c r="C1603">
        <v>30</v>
      </c>
      <c r="D1603" t="s">
        <v>10</v>
      </c>
      <c r="E1603" t="str">
        <f ca="1">IF(Table1[[#This Row],[is_smoker]]=0,"non-smoker","smoker")</f>
        <v>non-smoker</v>
      </c>
      <c r="F1603" t="s">
        <v>2004</v>
      </c>
      <c r="G1603" s="2">
        <v>1.2073170731707299</v>
      </c>
      <c r="H1603" s="2">
        <v>1227.39607168516</v>
      </c>
    </row>
    <row r="1604" spans="1:8" x14ac:dyDescent="0.3">
      <c r="A1604" t="s">
        <v>1672</v>
      </c>
      <c r="B1604" t="s">
        <v>29</v>
      </c>
      <c r="C1604">
        <v>31</v>
      </c>
      <c r="D1604" t="s">
        <v>10</v>
      </c>
      <c r="E1604" t="str">
        <f ca="1">IF(Table1[[#This Row],[is_smoker]]=0,"non-smoker","smoker")</f>
        <v>non-smoker</v>
      </c>
      <c r="F1604" t="s">
        <v>61</v>
      </c>
      <c r="G1604" s="2">
        <v>1.61788617886178</v>
      </c>
      <c r="H1604" s="2">
        <v>1633.11394812406</v>
      </c>
    </row>
    <row r="1605" spans="1:8" x14ac:dyDescent="0.3">
      <c r="A1605" t="s">
        <v>1673</v>
      </c>
      <c r="B1605" t="s">
        <v>23</v>
      </c>
      <c r="C1605">
        <v>38</v>
      </c>
      <c r="D1605" t="s">
        <v>10</v>
      </c>
      <c r="E1605" t="str">
        <f ca="1">IF(Table1[[#This Row],[is_smoker]]=0,"non-smoker","smoker")</f>
        <v>non-smoker</v>
      </c>
      <c r="F1605" t="s">
        <v>56</v>
      </c>
      <c r="G1605" s="2">
        <v>0.19512195121951201</v>
      </c>
      <c r="H1605" s="2">
        <v>187.37455203808699</v>
      </c>
    </row>
    <row r="1606" spans="1:8" x14ac:dyDescent="0.3">
      <c r="A1606" t="s">
        <v>1674</v>
      </c>
      <c r="B1606" t="s">
        <v>192</v>
      </c>
      <c r="C1606">
        <v>27</v>
      </c>
      <c r="D1606" t="s">
        <v>17</v>
      </c>
      <c r="E1606" t="str">
        <f ca="1">IF(Table1[[#This Row],[is_smoker]]=0,"non-smoker","smoker")</f>
        <v>non-smoker</v>
      </c>
      <c r="F1606" t="s">
        <v>61</v>
      </c>
      <c r="G1606" s="2">
        <v>1.61788617886178</v>
      </c>
      <c r="H1606" s="2">
        <v>4837.1478438948097</v>
      </c>
    </row>
    <row r="1607" spans="1:8" x14ac:dyDescent="0.3">
      <c r="A1607" t="s">
        <v>1675</v>
      </c>
      <c r="B1607" t="s">
        <v>23</v>
      </c>
      <c r="C1607">
        <v>32</v>
      </c>
      <c r="D1607" t="s">
        <v>17</v>
      </c>
      <c r="E1607" t="str">
        <f ca="1">IF(Table1[[#This Row],[is_smoker]]=0,"non-smoker","smoker")</f>
        <v>non-smoker</v>
      </c>
      <c r="F1607" t="s">
        <v>44</v>
      </c>
      <c r="G1607" s="2">
        <v>1.1341463414634101</v>
      </c>
      <c r="H1607" s="2">
        <v>3272.17237832207</v>
      </c>
    </row>
    <row r="1608" spans="1:8" x14ac:dyDescent="0.3">
      <c r="A1608" t="s">
        <v>1676</v>
      </c>
      <c r="B1608" t="s">
        <v>29</v>
      </c>
      <c r="C1608">
        <v>37</v>
      </c>
      <c r="D1608" t="s">
        <v>17</v>
      </c>
      <c r="E1608" t="str">
        <f ca="1">IF(Table1[[#This Row],[is_smoker]]=0,"non-smoker","smoker")</f>
        <v>non-smoker</v>
      </c>
      <c r="F1608" t="s">
        <v>44</v>
      </c>
      <c r="G1608" s="2">
        <v>1.1341463414634101</v>
      </c>
      <c r="H1608" s="2">
        <v>3157.6344810108599</v>
      </c>
    </row>
    <row r="1609" spans="1:8" x14ac:dyDescent="0.3">
      <c r="A1609" t="s">
        <v>1677</v>
      </c>
      <c r="B1609" t="s">
        <v>584</v>
      </c>
      <c r="C1609">
        <v>54</v>
      </c>
      <c r="D1609" t="s">
        <v>17</v>
      </c>
      <c r="E1609" t="str">
        <f ca="1">IF(Table1[[#This Row],[is_smoker]]=0,"non-smoker","smoker")</f>
        <v>non-smoker</v>
      </c>
      <c r="F1609" t="s">
        <v>14</v>
      </c>
      <c r="G1609" s="2">
        <v>0.66666666666666596</v>
      </c>
      <c r="H1609" s="2">
        <v>1644.3293854056001</v>
      </c>
    </row>
    <row r="1610" spans="1:8" x14ac:dyDescent="0.3">
      <c r="A1610" t="s">
        <v>1678</v>
      </c>
      <c r="B1610" t="s">
        <v>110</v>
      </c>
      <c r="C1610">
        <v>56</v>
      </c>
      <c r="D1610" t="s">
        <v>17</v>
      </c>
      <c r="E1610" t="str">
        <f ca="1">IF(Table1[[#This Row],[is_smoker]]=0,"non-smoker","smoker")</f>
        <v>non-smoker</v>
      </c>
      <c r="F1610" t="s">
        <v>56</v>
      </c>
      <c r="G1610" s="2">
        <v>0.19512195121951201</v>
      </c>
      <c r="H1610" s="2">
        <v>474.456586520553</v>
      </c>
    </row>
    <row r="1611" spans="1:8" x14ac:dyDescent="0.3">
      <c r="A1611" t="s">
        <v>1679</v>
      </c>
      <c r="B1611" t="s">
        <v>29</v>
      </c>
      <c r="C1611">
        <v>51</v>
      </c>
      <c r="D1611" t="s">
        <v>17</v>
      </c>
      <c r="E1611" t="str">
        <f ca="1">IF(Table1[[#This Row],[is_smoker]]=0,"non-smoker","smoker")</f>
        <v>non-smoker</v>
      </c>
      <c r="F1611" t="s">
        <v>24</v>
      </c>
      <c r="G1611" s="2">
        <v>1.70325203252032</v>
      </c>
      <c r="H1611" s="2">
        <v>4291.8406020360899</v>
      </c>
    </row>
    <row r="1612" spans="1:8" x14ac:dyDescent="0.3">
      <c r="A1612" t="s">
        <v>1680</v>
      </c>
      <c r="B1612" t="s">
        <v>16</v>
      </c>
      <c r="C1612">
        <v>25</v>
      </c>
      <c r="D1612" t="s">
        <v>17</v>
      </c>
      <c r="E1612" t="str">
        <f ca="1">IF(Table1[[#This Row],[is_smoker]]=0,"non-smoker","smoker")</f>
        <v>non-smoker</v>
      </c>
      <c r="F1612" t="s">
        <v>2004</v>
      </c>
      <c r="G1612" s="2">
        <v>1.2073170731707299</v>
      </c>
      <c r="H1612" s="2">
        <v>3661.4445892486701</v>
      </c>
    </row>
    <row r="1613" spans="1:8" x14ac:dyDescent="0.3">
      <c r="A1613" t="s">
        <v>1681</v>
      </c>
      <c r="B1613" t="s">
        <v>43</v>
      </c>
      <c r="C1613">
        <v>30</v>
      </c>
      <c r="D1613" t="s">
        <v>10</v>
      </c>
      <c r="E1613" t="str">
        <f ca="1">IF(Table1[[#This Row],[is_smoker]]=0,"non-smoker","smoker")</f>
        <v>non-smoker</v>
      </c>
      <c r="F1613" t="s">
        <v>48</v>
      </c>
      <c r="G1613" s="2">
        <v>0.46341463414634099</v>
      </c>
      <c r="H1613" s="2">
        <v>471.12172448521397</v>
      </c>
    </row>
    <row r="1614" spans="1:8" x14ac:dyDescent="0.3">
      <c r="A1614" t="s">
        <v>1682</v>
      </c>
      <c r="B1614" t="s">
        <v>9</v>
      </c>
      <c r="C1614">
        <v>58</v>
      </c>
      <c r="D1614" t="s">
        <v>10</v>
      </c>
      <c r="E1614" t="str">
        <f ca="1">IF(Table1[[#This Row],[is_smoker]]=0,"non-smoker","smoker")</f>
        <v>non-smoker</v>
      </c>
      <c r="F1614" t="s">
        <v>56</v>
      </c>
      <c r="G1614" s="2">
        <v>0.19512195121951201</v>
      </c>
      <c r="H1614" s="2">
        <v>162.485022142502</v>
      </c>
    </row>
    <row r="1615" spans="1:8" x14ac:dyDescent="0.3">
      <c r="A1615" t="s">
        <v>1683</v>
      </c>
      <c r="B1615" t="s">
        <v>60</v>
      </c>
      <c r="C1615">
        <v>54</v>
      </c>
      <c r="D1615" t="s">
        <v>10</v>
      </c>
      <c r="E1615" t="str">
        <f ca="1">IF(Table1[[#This Row],[is_smoker]]=0,"non-smoker","smoker")</f>
        <v>non-smoker</v>
      </c>
      <c r="F1615" t="s">
        <v>48</v>
      </c>
      <c r="G1615" s="2">
        <v>0.46341463414634099</v>
      </c>
      <c r="H1615" s="2">
        <v>397.06024170226499</v>
      </c>
    </row>
    <row r="1616" spans="1:8" x14ac:dyDescent="0.3">
      <c r="A1616" t="s">
        <v>1684</v>
      </c>
      <c r="B1616" t="s">
        <v>60</v>
      </c>
      <c r="C1616">
        <v>44</v>
      </c>
      <c r="D1616" t="s">
        <v>10</v>
      </c>
      <c r="E1616" t="str">
        <f ca="1">IF(Table1[[#This Row],[is_smoker]]=0,"non-smoker","smoker")</f>
        <v>non-smoker</v>
      </c>
      <c r="F1616" t="s">
        <v>56</v>
      </c>
      <c r="G1616" s="2">
        <v>0.19512195121951201</v>
      </c>
      <c r="H1616" s="2">
        <v>179.53181666099599</v>
      </c>
    </row>
    <row r="1617" spans="1:8" x14ac:dyDescent="0.3">
      <c r="A1617" t="s">
        <v>1685</v>
      </c>
      <c r="B1617" t="s">
        <v>43</v>
      </c>
      <c r="C1617">
        <v>35</v>
      </c>
      <c r="D1617" t="s">
        <v>17</v>
      </c>
      <c r="E1617" t="str">
        <f ca="1">IF(Table1[[#This Row],[is_smoker]]=0,"non-smoker","smoker")</f>
        <v>non-smoker</v>
      </c>
      <c r="F1617" t="s">
        <v>56</v>
      </c>
      <c r="G1617" s="2">
        <v>0.19512195121951201</v>
      </c>
      <c r="H1617" s="2">
        <v>551.04696824390396</v>
      </c>
    </row>
    <row r="1618" spans="1:8" x14ac:dyDescent="0.3">
      <c r="A1618" t="s">
        <v>1686</v>
      </c>
      <c r="B1618" t="s">
        <v>41</v>
      </c>
      <c r="C1618">
        <v>35</v>
      </c>
      <c r="D1618" t="s">
        <v>10</v>
      </c>
      <c r="E1618" t="str">
        <f ca="1">IF(Table1[[#This Row],[is_smoker]]=0,"non-smoker","smoker")</f>
        <v>non-smoker</v>
      </c>
      <c r="F1618" t="s">
        <v>61</v>
      </c>
      <c r="G1618" s="2">
        <v>1.61788617886178</v>
      </c>
      <c r="H1618" s="2">
        <v>1587.21965677244</v>
      </c>
    </row>
    <row r="1619" spans="1:8" x14ac:dyDescent="0.3">
      <c r="A1619" t="s">
        <v>1687</v>
      </c>
      <c r="B1619" t="s">
        <v>16</v>
      </c>
      <c r="C1619">
        <v>30</v>
      </c>
      <c r="D1619" t="s">
        <v>17</v>
      </c>
      <c r="E1619" t="str">
        <f ca="1">IF(Table1[[#This Row],[is_smoker]]=0,"non-smoker","smoker")</f>
        <v>non-smoker</v>
      </c>
      <c r="F1619" t="s">
        <v>56</v>
      </c>
      <c r="G1619" s="2">
        <v>0.19512195121951201</v>
      </c>
      <c r="H1619" s="2">
        <v>571.03527323674996</v>
      </c>
    </row>
    <row r="1620" spans="1:8" x14ac:dyDescent="0.3">
      <c r="A1620" t="s">
        <v>1688</v>
      </c>
      <c r="B1620" t="s">
        <v>50</v>
      </c>
      <c r="C1620">
        <v>56</v>
      </c>
      <c r="D1620" t="s">
        <v>17</v>
      </c>
      <c r="E1620" t="str">
        <f ca="1">IF(Table1[[#This Row],[is_smoker]]=0,"non-smoker","smoker")</f>
        <v>non-smoker</v>
      </c>
      <c r="F1620" t="s">
        <v>14</v>
      </c>
      <c r="G1620" s="2">
        <v>0.66666666666666596</v>
      </c>
      <c r="H1620" s="2">
        <v>1621.0600039452199</v>
      </c>
    </row>
    <row r="1621" spans="1:8" x14ac:dyDescent="0.3">
      <c r="A1621" t="s">
        <v>1689</v>
      </c>
      <c r="B1621" t="s">
        <v>13</v>
      </c>
      <c r="C1621">
        <v>45</v>
      </c>
      <c r="D1621" t="s">
        <v>17</v>
      </c>
      <c r="E1621" t="str">
        <f ca="1">IF(Table1[[#This Row],[is_smoker]]=0,"non-smoker","smoker")</f>
        <v>non-smoker</v>
      </c>
      <c r="F1621" t="s">
        <v>24</v>
      </c>
      <c r="G1621" s="2">
        <v>1.70325203252032</v>
      </c>
      <c r="H1621" s="2">
        <v>4479.3269804866804</v>
      </c>
    </row>
    <row r="1622" spans="1:8" x14ac:dyDescent="0.3">
      <c r="A1622" t="s">
        <v>1690</v>
      </c>
      <c r="B1622" t="s">
        <v>113</v>
      </c>
      <c r="C1622">
        <v>34</v>
      </c>
      <c r="D1622" t="s">
        <v>17</v>
      </c>
      <c r="E1622" t="str">
        <f ca="1">IF(Table1[[#This Row],[is_smoker]]=0,"non-smoker","smoker")</f>
        <v>non-smoker</v>
      </c>
      <c r="F1622" t="s">
        <v>44</v>
      </c>
      <c r="G1622" s="2">
        <v>1.1341463414634101</v>
      </c>
      <c r="H1622" s="2">
        <v>3225.8669191171698</v>
      </c>
    </row>
    <row r="1623" spans="1:8" x14ac:dyDescent="0.3">
      <c r="A1623" t="s">
        <v>1691</v>
      </c>
      <c r="B1623" t="s">
        <v>113</v>
      </c>
      <c r="C1623">
        <v>40</v>
      </c>
      <c r="D1623" t="s">
        <v>10</v>
      </c>
      <c r="E1623" t="str">
        <f ca="1">IF(Table1[[#This Row],[is_smoker]]=0,"non-smoker","smoker")</f>
        <v>non-smoker</v>
      </c>
      <c r="F1623" t="s">
        <v>11</v>
      </c>
      <c r="G1623" s="2">
        <v>1.1544715447154399</v>
      </c>
      <c r="H1623" s="2">
        <v>1092.9441828029801</v>
      </c>
    </row>
    <row r="1624" spans="1:8" x14ac:dyDescent="0.3">
      <c r="A1624" t="s">
        <v>1692</v>
      </c>
      <c r="B1624" t="s">
        <v>29</v>
      </c>
      <c r="C1624">
        <v>31</v>
      </c>
      <c r="D1624" t="s">
        <v>17</v>
      </c>
      <c r="E1624" t="str">
        <f ca="1">IF(Table1[[#This Row],[is_smoker]]=0,"non-smoker","smoker")</f>
        <v>non-smoker</v>
      </c>
      <c r="F1624" t="s">
        <v>48</v>
      </c>
      <c r="G1624" s="2">
        <v>0.46341463414634099</v>
      </c>
      <c r="H1624" s="2">
        <v>1346.5785308404199</v>
      </c>
    </row>
    <row r="1625" spans="1:8" x14ac:dyDescent="0.3">
      <c r="A1625" t="s">
        <v>1693</v>
      </c>
      <c r="B1625" t="s">
        <v>135</v>
      </c>
      <c r="C1625">
        <v>41</v>
      </c>
      <c r="D1625" t="s">
        <v>17</v>
      </c>
      <c r="E1625" t="str">
        <f ca="1">IF(Table1[[#This Row],[is_smoker]]=0,"non-smoker","smoker")</f>
        <v>non-smoker</v>
      </c>
      <c r="F1625" t="s">
        <v>44</v>
      </c>
      <c r="G1625" s="2">
        <v>1.1341463414634101</v>
      </c>
      <c r="H1625" s="2">
        <v>3068.8976252513899</v>
      </c>
    </row>
    <row r="1626" spans="1:8" x14ac:dyDescent="0.3">
      <c r="A1626" t="s">
        <v>1694</v>
      </c>
      <c r="B1626" t="s">
        <v>29</v>
      </c>
      <c r="C1626">
        <v>35</v>
      </c>
      <c r="D1626" t="s">
        <v>17</v>
      </c>
      <c r="E1626" t="str">
        <f ca="1">IF(Table1[[#This Row],[is_smoker]]=0,"non-smoker","smoker")</f>
        <v>non-smoker</v>
      </c>
      <c r="F1626" t="s">
        <v>11</v>
      </c>
      <c r="G1626" s="2">
        <v>1.1544715447154399</v>
      </c>
      <c r="H1626" s="2">
        <v>3260.3612287764299</v>
      </c>
    </row>
    <row r="1627" spans="1:8" x14ac:dyDescent="0.3">
      <c r="A1627" t="s">
        <v>1695</v>
      </c>
      <c r="B1627" t="s">
        <v>13</v>
      </c>
      <c r="C1627">
        <v>52</v>
      </c>
      <c r="D1627" t="s">
        <v>10</v>
      </c>
      <c r="E1627" t="str">
        <f ca="1">IF(Table1[[#This Row],[is_smoker]]=0,"non-smoker","smoker")</f>
        <v>non-smoker</v>
      </c>
      <c r="F1627" t="s">
        <v>24</v>
      </c>
      <c r="G1627" s="2">
        <v>1.70325203252032</v>
      </c>
      <c r="H1627" s="2">
        <v>1480.3189599033799</v>
      </c>
    </row>
    <row r="1628" spans="1:8" x14ac:dyDescent="0.3">
      <c r="A1628" t="s">
        <v>1696</v>
      </c>
      <c r="B1628" t="s">
        <v>29</v>
      </c>
      <c r="C1628">
        <v>60</v>
      </c>
      <c r="D1628" t="s">
        <v>10</v>
      </c>
      <c r="E1628" t="str">
        <f ca="1">IF(Table1[[#This Row],[is_smoker]]=0,"non-smoker","smoker")</f>
        <v>non-smoker</v>
      </c>
      <c r="F1628" t="s">
        <v>24</v>
      </c>
      <c r="G1628" s="2">
        <v>1.70325203252032</v>
      </c>
      <c r="H1628" s="2">
        <v>1398.2872323179399</v>
      </c>
    </row>
    <row r="1629" spans="1:8" x14ac:dyDescent="0.3">
      <c r="A1629" t="s">
        <v>1697</v>
      </c>
      <c r="B1629" t="s">
        <v>135</v>
      </c>
      <c r="C1629">
        <v>20</v>
      </c>
      <c r="D1629" t="s">
        <v>17</v>
      </c>
      <c r="E1629" t="str">
        <f ca="1">IF(Table1[[#This Row],[is_smoker]]=0,"non-smoker","smoker")</f>
        <v>non-smoker</v>
      </c>
      <c r="F1629" t="s">
        <v>48</v>
      </c>
      <c r="G1629" s="2">
        <v>0.46341463414634099</v>
      </c>
      <c r="H1629" s="2">
        <v>1456.3816104897301</v>
      </c>
    </row>
    <row r="1630" spans="1:8" x14ac:dyDescent="0.3">
      <c r="A1630" t="s">
        <v>1698</v>
      </c>
      <c r="B1630" t="s">
        <v>63</v>
      </c>
      <c r="C1630">
        <v>30</v>
      </c>
      <c r="D1630" t="s">
        <v>10</v>
      </c>
      <c r="E1630" t="str">
        <f ca="1">IF(Table1[[#This Row],[is_smoker]]=0,"non-smoker","smoker")</f>
        <v>non-smoker</v>
      </c>
      <c r="F1630" t="s">
        <v>48</v>
      </c>
      <c r="G1630" s="2">
        <v>0.46341463414634099</v>
      </c>
      <c r="H1630" s="2">
        <v>471.12172448521397</v>
      </c>
    </row>
    <row r="1631" spans="1:8" x14ac:dyDescent="0.3">
      <c r="A1631" t="s">
        <v>1699</v>
      </c>
      <c r="B1631" t="s">
        <v>113</v>
      </c>
      <c r="C1631">
        <v>23</v>
      </c>
      <c r="D1631" t="s">
        <v>10</v>
      </c>
      <c r="E1631" t="str">
        <f ca="1">IF(Table1[[#This Row],[is_smoker]]=0,"non-smoker","smoker")</f>
        <v>non-smoker</v>
      </c>
      <c r="F1631" t="s">
        <v>24</v>
      </c>
      <c r="G1631" s="2">
        <v>1.70325203252032</v>
      </c>
      <c r="H1631" s="2">
        <v>1820.14651470128</v>
      </c>
    </row>
    <row r="1632" spans="1:8" x14ac:dyDescent="0.3">
      <c r="A1632" t="s">
        <v>1700</v>
      </c>
      <c r="B1632" t="s">
        <v>60</v>
      </c>
      <c r="C1632">
        <v>55</v>
      </c>
      <c r="D1632" t="s">
        <v>17</v>
      </c>
      <c r="E1632" t="str">
        <f ca="1">IF(Table1[[#This Row],[is_smoker]]=0,"non-smoker","smoker")</f>
        <v>non-smoker</v>
      </c>
      <c r="F1632" t="s">
        <v>11</v>
      </c>
      <c r="G1632" s="2">
        <v>1.1544715447154399</v>
      </c>
      <c r="H1632" s="2">
        <v>2827.2775608430002</v>
      </c>
    </row>
    <row r="1633" spans="1:8" x14ac:dyDescent="0.3">
      <c r="A1633" t="s">
        <v>1701</v>
      </c>
      <c r="B1633" t="s">
        <v>60</v>
      </c>
      <c r="C1633">
        <v>35</v>
      </c>
      <c r="D1633" t="s">
        <v>17</v>
      </c>
      <c r="E1633" t="str">
        <f ca="1">IF(Table1[[#This Row],[is_smoker]]=0,"non-smoker","smoker")</f>
        <v>non-smoker</v>
      </c>
      <c r="F1633" t="s">
        <v>56</v>
      </c>
      <c r="G1633" s="2">
        <v>0.19512195121951201</v>
      </c>
      <c r="H1633" s="2">
        <v>551.04696824390396</v>
      </c>
    </row>
    <row r="1634" spans="1:8" x14ac:dyDescent="0.3">
      <c r="A1634" t="s">
        <v>1702</v>
      </c>
      <c r="B1634" t="s">
        <v>50</v>
      </c>
      <c r="C1634">
        <v>23</v>
      </c>
      <c r="D1634" t="s">
        <v>17</v>
      </c>
      <c r="E1634" t="str">
        <f ca="1">IF(Table1[[#This Row],[is_smoker]]=0,"non-smoker","smoker")</f>
        <v>non-smoker</v>
      </c>
      <c r="F1634" t="s">
        <v>2004</v>
      </c>
      <c r="G1634" s="2">
        <v>1.2073170731707299</v>
      </c>
      <c r="H1634" s="2">
        <v>3714.0025147023298</v>
      </c>
    </row>
    <row r="1635" spans="1:8" x14ac:dyDescent="0.3">
      <c r="A1635" t="s">
        <v>1703</v>
      </c>
      <c r="B1635" t="s">
        <v>88</v>
      </c>
      <c r="C1635">
        <v>43</v>
      </c>
      <c r="D1635" t="s">
        <v>17</v>
      </c>
      <c r="E1635" t="str">
        <f ca="1">IF(Table1[[#This Row],[is_smoker]]=0,"non-smoker","smoker")</f>
        <v>non-smoker</v>
      </c>
      <c r="F1635" t="s">
        <v>27</v>
      </c>
      <c r="G1635" s="2">
        <v>0.53252032520325199</v>
      </c>
      <c r="H1635" s="2">
        <v>1420.5606033726499</v>
      </c>
    </row>
    <row r="1636" spans="1:8" x14ac:dyDescent="0.3">
      <c r="A1636" t="s">
        <v>1704</v>
      </c>
      <c r="B1636" t="s">
        <v>29</v>
      </c>
      <c r="C1636">
        <v>43</v>
      </c>
      <c r="D1636" t="s">
        <v>17</v>
      </c>
      <c r="E1636" t="str">
        <f ca="1">IF(Table1[[#This Row],[is_smoker]]=0,"non-smoker","smoker")</f>
        <v>non-smoker</v>
      </c>
      <c r="F1636" t="s">
        <v>44</v>
      </c>
      <c r="G1636" s="2">
        <v>1.1341463414634101</v>
      </c>
      <c r="H1636" s="2">
        <v>3025.4687659616102</v>
      </c>
    </row>
    <row r="1637" spans="1:8" x14ac:dyDescent="0.3">
      <c r="A1637" t="s">
        <v>1705</v>
      </c>
      <c r="B1637" t="s">
        <v>29</v>
      </c>
      <c r="C1637">
        <v>65</v>
      </c>
      <c r="D1637" t="s">
        <v>17</v>
      </c>
      <c r="E1637" t="str">
        <f ca="1">IF(Table1[[#This Row],[is_smoker]]=0,"non-smoker","smoker")</f>
        <v>non-smoker</v>
      </c>
      <c r="F1637" t="s">
        <v>61</v>
      </c>
      <c r="G1637" s="2">
        <v>1.61788617886178</v>
      </c>
      <c r="H1637" s="2">
        <v>3689.64465268186</v>
      </c>
    </row>
    <row r="1638" spans="1:8" x14ac:dyDescent="0.3">
      <c r="A1638" t="s">
        <v>1706</v>
      </c>
      <c r="B1638" t="s">
        <v>29</v>
      </c>
      <c r="C1638">
        <v>58</v>
      </c>
      <c r="D1638" t="s">
        <v>10</v>
      </c>
      <c r="E1638" t="str">
        <f ca="1">IF(Table1[[#This Row],[is_smoker]]=0,"non-smoker","smoker")</f>
        <v>non-smoker</v>
      </c>
      <c r="F1638" t="s">
        <v>44</v>
      </c>
      <c r="G1638" s="2">
        <v>1.1341463414634101</v>
      </c>
      <c r="H1638" s="2">
        <v>944.44419120329599</v>
      </c>
    </row>
    <row r="1639" spans="1:8" x14ac:dyDescent="0.3">
      <c r="A1639" t="s">
        <v>1707</v>
      </c>
      <c r="B1639" t="s">
        <v>113</v>
      </c>
      <c r="C1639">
        <v>22</v>
      </c>
      <c r="D1639" t="s">
        <v>17</v>
      </c>
      <c r="E1639" t="str">
        <f ca="1">IF(Table1[[#This Row],[is_smoker]]=0,"non-smoker","smoker")</f>
        <v>non-smoker</v>
      </c>
      <c r="F1639" t="s">
        <v>61</v>
      </c>
      <c r="G1639" s="2">
        <v>1.61788617886178</v>
      </c>
      <c r="H1639" s="2">
        <v>5012.6072728929903</v>
      </c>
    </row>
    <row r="1640" spans="1:8" x14ac:dyDescent="0.3">
      <c r="A1640" t="s">
        <v>1708</v>
      </c>
      <c r="B1640" t="s">
        <v>82</v>
      </c>
      <c r="C1640">
        <v>41</v>
      </c>
      <c r="D1640" t="s">
        <v>10</v>
      </c>
      <c r="E1640" t="str">
        <f ca="1">IF(Table1[[#This Row],[is_smoker]]=0,"non-smoker","smoker")</f>
        <v>non-smoker</v>
      </c>
      <c r="F1640" t="s">
        <v>11</v>
      </c>
      <c r="G1640" s="2">
        <v>1.1544715447154399</v>
      </c>
      <c r="H1640" s="2">
        <v>1085.1833436357699</v>
      </c>
    </row>
    <row r="1641" spans="1:8" x14ac:dyDescent="0.3">
      <c r="A1641" t="s">
        <v>1709</v>
      </c>
      <c r="B1641" t="s">
        <v>43</v>
      </c>
      <c r="C1641">
        <v>50</v>
      </c>
      <c r="D1641" t="s">
        <v>17</v>
      </c>
      <c r="E1641" t="str">
        <f ca="1">IF(Table1[[#This Row],[is_smoker]]=0,"non-smoker","smoker")</f>
        <v>non-smoker</v>
      </c>
      <c r="F1641" t="s">
        <v>61</v>
      </c>
      <c r="G1641" s="2">
        <v>1.61788617886178</v>
      </c>
      <c r="H1641" s="2">
        <v>4105.8917649507803</v>
      </c>
    </row>
    <row r="1642" spans="1:8" x14ac:dyDescent="0.3">
      <c r="A1642" t="s">
        <v>1710</v>
      </c>
      <c r="B1642" t="s">
        <v>46</v>
      </c>
      <c r="C1642">
        <v>41</v>
      </c>
      <c r="D1642" t="s">
        <v>17</v>
      </c>
      <c r="E1642" t="str">
        <f ca="1">IF(Table1[[#This Row],[is_smoker]]=0,"non-smoker","smoker")</f>
        <v>non-smoker</v>
      </c>
      <c r="F1642" t="s">
        <v>48</v>
      </c>
      <c r="G1642" s="2">
        <v>0.46341463414634099</v>
      </c>
      <c r="H1642" s="2">
        <v>1253.95816945755</v>
      </c>
    </row>
    <row r="1643" spans="1:8" x14ac:dyDescent="0.3">
      <c r="A1643" t="s">
        <v>1711</v>
      </c>
      <c r="B1643" t="s">
        <v>46</v>
      </c>
      <c r="C1643">
        <v>57</v>
      </c>
      <c r="D1643" t="s">
        <v>10</v>
      </c>
      <c r="E1643" t="str">
        <f ca="1">IF(Table1[[#This Row],[is_smoker]]=0,"non-smoker","smoker")</f>
        <v>non-smoker</v>
      </c>
      <c r="F1643" t="s">
        <v>2004</v>
      </c>
      <c r="G1643" s="2">
        <v>1.2073170731707299</v>
      </c>
      <c r="H1643" s="2">
        <v>1012.56616092168</v>
      </c>
    </row>
    <row r="1644" spans="1:8" x14ac:dyDescent="0.3">
      <c r="A1644" t="s">
        <v>1712</v>
      </c>
      <c r="B1644" t="s">
        <v>13</v>
      </c>
      <c r="C1644">
        <v>28</v>
      </c>
      <c r="D1644" t="s">
        <v>17</v>
      </c>
      <c r="E1644" t="str">
        <f ca="1">IF(Table1[[#This Row],[is_smoker]]=0,"non-smoker","smoker")</f>
        <v>non-smoker</v>
      </c>
      <c r="F1644" t="s">
        <v>2004</v>
      </c>
      <c r="G1644" s="2">
        <v>1.2073170731707299</v>
      </c>
      <c r="H1644" s="2">
        <v>3583.99896065342</v>
      </c>
    </row>
    <row r="1645" spans="1:8" x14ac:dyDescent="0.3">
      <c r="A1645" t="s">
        <v>1713</v>
      </c>
      <c r="B1645" t="s">
        <v>16</v>
      </c>
      <c r="C1645">
        <v>40</v>
      </c>
      <c r="D1645" t="s">
        <v>17</v>
      </c>
      <c r="E1645" t="str">
        <f ca="1">IF(Table1[[#This Row],[is_smoker]]=0,"non-smoker","smoker")</f>
        <v>non-smoker</v>
      </c>
      <c r="F1645" t="s">
        <v>48</v>
      </c>
      <c r="G1645" s="2">
        <v>0.46341463414634099</v>
      </c>
      <c r="H1645" s="2">
        <v>1262.92602519607</v>
      </c>
    </row>
    <row r="1646" spans="1:8" x14ac:dyDescent="0.3">
      <c r="A1646" t="s">
        <v>1714</v>
      </c>
      <c r="B1646" t="s">
        <v>21</v>
      </c>
      <c r="C1646">
        <v>26</v>
      </c>
      <c r="D1646" t="s">
        <v>17</v>
      </c>
      <c r="E1646" t="str">
        <f ca="1">IF(Table1[[#This Row],[is_smoker]]=0,"non-smoker","smoker")</f>
        <v>non-smoker</v>
      </c>
      <c r="F1646" t="s">
        <v>14</v>
      </c>
      <c r="G1646" s="2">
        <v>0.66666666666666596</v>
      </c>
      <c r="H1646" s="2">
        <v>2007.4512208712799</v>
      </c>
    </row>
    <row r="1647" spans="1:8" x14ac:dyDescent="0.3">
      <c r="A1647" t="s">
        <v>1715</v>
      </c>
      <c r="B1647" t="s">
        <v>472</v>
      </c>
      <c r="C1647">
        <v>26</v>
      </c>
      <c r="D1647" t="s">
        <v>10</v>
      </c>
      <c r="E1647" t="str">
        <f ca="1">IF(Table1[[#This Row],[is_smoker]]=0,"non-smoker","smoker")</f>
        <v>non-smoker</v>
      </c>
      <c r="F1647" t="s">
        <v>11</v>
      </c>
      <c r="G1647" s="2">
        <v>1.1544715447154399</v>
      </c>
      <c r="H1647" s="2">
        <v>1207.6082586590701</v>
      </c>
    </row>
    <row r="1648" spans="1:8" x14ac:dyDescent="0.3">
      <c r="A1648" t="s">
        <v>1716</v>
      </c>
      <c r="B1648" t="s">
        <v>938</v>
      </c>
      <c r="C1648">
        <v>25</v>
      </c>
      <c r="D1648" t="s">
        <v>10</v>
      </c>
      <c r="E1648" t="str">
        <f ca="1">IF(Table1[[#This Row],[is_smoker]]=0,"non-smoker","smoker")</f>
        <v>non-smoker</v>
      </c>
      <c r="F1648" t="s">
        <v>14</v>
      </c>
      <c r="G1648" s="2">
        <v>0.66666666666666596</v>
      </c>
      <c r="H1648" s="2">
        <v>702.33845211134098</v>
      </c>
    </row>
    <row r="1649" spans="1:8" x14ac:dyDescent="0.3">
      <c r="A1649" t="s">
        <v>1717</v>
      </c>
      <c r="B1649" t="s">
        <v>43</v>
      </c>
      <c r="C1649">
        <v>41</v>
      </c>
      <c r="D1649" t="s">
        <v>17</v>
      </c>
      <c r="E1649" t="str">
        <f ca="1">IF(Table1[[#This Row],[is_smoker]]=0,"non-smoker","smoker")</f>
        <v>non-smoker</v>
      </c>
      <c r="F1649" t="s">
        <v>14</v>
      </c>
      <c r="G1649" s="2">
        <v>0.66666666666666596</v>
      </c>
      <c r="H1649" s="2">
        <v>1803.93982272841</v>
      </c>
    </row>
    <row r="1650" spans="1:8" x14ac:dyDescent="0.3">
      <c r="A1650" t="s">
        <v>1718</v>
      </c>
      <c r="B1650" t="s">
        <v>26</v>
      </c>
      <c r="C1650">
        <v>18</v>
      </c>
      <c r="D1650" t="s">
        <v>10</v>
      </c>
      <c r="E1650" t="str">
        <f ca="1">IF(Table1[[#This Row],[is_smoker]]=0,"non-smoker","smoker")</f>
        <v>non-smoker</v>
      </c>
      <c r="F1650" t="s">
        <v>44</v>
      </c>
      <c r="G1650" s="2">
        <v>1.1341463414634101</v>
      </c>
      <c r="H1650" s="2">
        <v>1255.9456530335799</v>
      </c>
    </row>
    <row r="1651" spans="1:8" x14ac:dyDescent="0.3">
      <c r="A1651" t="s">
        <v>1719</v>
      </c>
      <c r="B1651" t="s">
        <v>13</v>
      </c>
      <c r="C1651">
        <v>55</v>
      </c>
      <c r="D1651" t="s">
        <v>17</v>
      </c>
      <c r="E1651" t="str">
        <f ca="1">IF(Table1[[#This Row],[is_smoker]]=0,"non-smoker","smoker")</f>
        <v>non-smoker</v>
      </c>
      <c r="F1651" t="s">
        <v>24</v>
      </c>
      <c r="G1651" s="2">
        <v>1.70325203252032</v>
      </c>
      <c r="H1651" s="2">
        <v>4171.2299225113402</v>
      </c>
    </row>
    <row r="1652" spans="1:8" x14ac:dyDescent="0.3">
      <c r="A1652" t="s">
        <v>1720</v>
      </c>
      <c r="B1652" t="s">
        <v>128</v>
      </c>
      <c r="C1652">
        <v>63</v>
      </c>
      <c r="D1652" t="s">
        <v>17</v>
      </c>
      <c r="E1652" t="str">
        <f ca="1">IF(Table1[[#This Row],[is_smoker]]=0,"non-smoker","smoker")</f>
        <v>non-smoker</v>
      </c>
      <c r="F1652" t="s">
        <v>44</v>
      </c>
      <c r="G1652" s="2">
        <v>1.1341463414634101</v>
      </c>
      <c r="H1652" s="2">
        <v>2623.58657609383</v>
      </c>
    </row>
    <row r="1653" spans="1:8" x14ac:dyDescent="0.3">
      <c r="A1653" t="s">
        <v>1721</v>
      </c>
      <c r="B1653" t="s">
        <v>60</v>
      </c>
      <c r="C1653">
        <v>51</v>
      </c>
      <c r="D1653" t="s">
        <v>10</v>
      </c>
      <c r="E1653" t="str">
        <f ca="1">IF(Table1[[#This Row],[is_smoker]]=0,"non-smoker","smoker")</f>
        <v>non-smoker</v>
      </c>
      <c r="F1653" t="s">
        <v>24</v>
      </c>
      <c r="G1653" s="2">
        <v>1.70325203252032</v>
      </c>
      <c r="H1653" s="2">
        <v>1490.9056662248099</v>
      </c>
    </row>
    <row r="1654" spans="1:8" x14ac:dyDescent="0.3">
      <c r="A1654" t="s">
        <v>1722</v>
      </c>
      <c r="B1654" t="s">
        <v>29</v>
      </c>
      <c r="C1654">
        <v>55</v>
      </c>
      <c r="D1654" t="s">
        <v>17</v>
      </c>
      <c r="E1654" t="str">
        <f ca="1">IF(Table1[[#This Row],[is_smoker]]=0,"non-smoker","smoker")</f>
        <v>non-smoker</v>
      </c>
      <c r="F1654" t="s">
        <v>27</v>
      </c>
      <c r="G1654" s="2">
        <v>0.53252032520325199</v>
      </c>
      <c r="H1654" s="2">
        <v>1304.1315509522301</v>
      </c>
    </row>
    <row r="1655" spans="1:8" x14ac:dyDescent="0.3">
      <c r="A1655" t="s">
        <v>1723</v>
      </c>
      <c r="B1655" t="s">
        <v>60</v>
      </c>
      <c r="C1655">
        <v>53</v>
      </c>
      <c r="D1655" t="s">
        <v>10</v>
      </c>
      <c r="E1655" t="str">
        <f ca="1">IF(Table1[[#This Row],[is_smoker]]=0,"non-smoker","smoker")</f>
        <v>non-smoker</v>
      </c>
      <c r="F1655" t="s">
        <v>61</v>
      </c>
      <c r="G1655" s="2">
        <v>1.61788617886178</v>
      </c>
      <c r="H1655" s="2">
        <v>1396.1416621640899</v>
      </c>
    </row>
    <row r="1656" spans="1:8" x14ac:dyDescent="0.3">
      <c r="A1656" t="s">
        <v>1724</v>
      </c>
      <c r="B1656" t="s">
        <v>110</v>
      </c>
      <c r="C1656">
        <v>46</v>
      </c>
      <c r="D1656" t="s">
        <v>17</v>
      </c>
      <c r="E1656" t="str">
        <f ca="1">IF(Table1[[#This Row],[is_smoker]]=0,"non-smoker","smoker")</f>
        <v>non-smoker</v>
      </c>
      <c r="F1656" t="s">
        <v>24</v>
      </c>
      <c r="G1656" s="2">
        <v>1.70325203252032</v>
      </c>
      <c r="H1656" s="2">
        <v>4447.5199249939196</v>
      </c>
    </row>
    <row r="1657" spans="1:8" x14ac:dyDescent="0.3">
      <c r="A1657" t="s">
        <v>1725</v>
      </c>
      <c r="B1657" t="s">
        <v>16</v>
      </c>
      <c r="C1657">
        <v>46</v>
      </c>
      <c r="D1657" t="s">
        <v>17</v>
      </c>
      <c r="E1657" t="str">
        <f ca="1">IF(Table1[[#This Row],[is_smoker]]=0,"non-smoker","smoker")</f>
        <v>non-smoker</v>
      </c>
      <c r="F1657" t="s">
        <v>48</v>
      </c>
      <c r="G1657" s="2">
        <v>0.46341463414634099</v>
      </c>
      <c r="H1657" s="2">
        <v>1210.0650869911799</v>
      </c>
    </row>
    <row r="1658" spans="1:8" x14ac:dyDescent="0.3">
      <c r="A1658" t="s">
        <v>1726</v>
      </c>
      <c r="B1658" t="s">
        <v>85</v>
      </c>
      <c r="C1658">
        <v>19</v>
      </c>
      <c r="D1658" t="s">
        <v>10</v>
      </c>
      <c r="E1658" t="str">
        <f ca="1">IF(Table1[[#This Row],[is_smoker]]=0,"non-smoker","smoker")</f>
        <v>non-smoker</v>
      </c>
      <c r="F1658" t="s">
        <v>44</v>
      </c>
      <c r="G1658" s="2">
        <v>1.1341463414634101</v>
      </c>
      <c r="H1658" s="2">
        <v>1247.0273639120401</v>
      </c>
    </row>
    <row r="1659" spans="1:8" x14ac:dyDescent="0.3">
      <c r="A1659" t="s">
        <v>1727</v>
      </c>
      <c r="B1659" t="s">
        <v>43</v>
      </c>
      <c r="C1659">
        <v>45</v>
      </c>
      <c r="D1659" t="s">
        <v>10</v>
      </c>
      <c r="E1659" t="str">
        <f ca="1">IF(Table1[[#This Row],[is_smoker]]=0,"non-smoker","smoker")</f>
        <v>non-smoker</v>
      </c>
      <c r="F1659" t="s">
        <v>11</v>
      </c>
      <c r="G1659" s="2">
        <v>1.1544715447154399</v>
      </c>
      <c r="H1659" s="2">
        <v>1054.6871736655401</v>
      </c>
    </row>
    <row r="1660" spans="1:8" x14ac:dyDescent="0.3">
      <c r="A1660" t="s">
        <v>1728</v>
      </c>
      <c r="B1660" t="s">
        <v>23</v>
      </c>
      <c r="C1660">
        <v>23</v>
      </c>
      <c r="D1660" t="s">
        <v>10</v>
      </c>
      <c r="E1660" t="str">
        <f ca="1">IF(Table1[[#This Row],[is_smoker]]=0,"non-smoker","smoker")</f>
        <v>non-smoker</v>
      </c>
      <c r="F1660" t="s">
        <v>61</v>
      </c>
      <c r="G1660" s="2">
        <v>1.61788617886178</v>
      </c>
      <c r="H1660" s="2">
        <v>1728.9219877114799</v>
      </c>
    </row>
    <row r="1661" spans="1:8" x14ac:dyDescent="0.3">
      <c r="A1661" t="s">
        <v>1729</v>
      </c>
      <c r="B1661" t="s">
        <v>60</v>
      </c>
      <c r="C1661">
        <v>20</v>
      </c>
      <c r="D1661" t="s">
        <v>10</v>
      </c>
      <c r="E1661" t="str">
        <f ca="1">IF(Table1[[#This Row],[is_smoker]]=0,"non-smoker","smoker")</f>
        <v>non-smoker</v>
      </c>
      <c r="F1661" t="s">
        <v>27</v>
      </c>
      <c r="G1661" s="2">
        <v>0.53252032520325199</v>
      </c>
      <c r="H1661" s="2">
        <v>581.36410286104001</v>
      </c>
    </row>
    <row r="1662" spans="1:8" x14ac:dyDescent="0.3">
      <c r="A1662" t="s">
        <v>1730</v>
      </c>
      <c r="B1662" t="s">
        <v>46</v>
      </c>
      <c r="C1662">
        <v>50</v>
      </c>
      <c r="D1662" t="s">
        <v>17</v>
      </c>
      <c r="E1662" t="str">
        <f ca="1">IF(Table1[[#This Row],[is_smoker]]=0,"non-smoker","smoker")</f>
        <v>non-smoker</v>
      </c>
      <c r="F1662" t="s">
        <v>24</v>
      </c>
      <c r="G1662" s="2">
        <v>1.70325203252032</v>
      </c>
      <c r="H1662" s="2">
        <v>4322.5342952622595</v>
      </c>
    </row>
    <row r="1663" spans="1:8" x14ac:dyDescent="0.3">
      <c r="A1663" t="s">
        <v>1731</v>
      </c>
      <c r="B1663" t="s">
        <v>29</v>
      </c>
      <c r="C1663">
        <v>40</v>
      </c>
      <c r="D1663" t="s">
        <v>17</v>
      </c>
      <c r="E1663" t="str">
        <f ca="1">IF(Table1[[#This Row],[is_smoker]]=0,"non-smoker","smoker")</f>
        <v>non-smoker</v>
      </c>
      <c r="F1663" t="s">
        <v>27</v>
      </c>
      <c r="G1663" s="2">
        <v>0.53252032520325199</v>
      </c>
      <c r="H1663" s="2">
        <v>1451.2570991288201</v>
      </c>
    </row>
    <row r="1664" spans="1:8" x14ac:dyDescent="0.3">
      <c r="A1664" t="s">
        <v>1732</v>
      </c>
      <c r="B1664" t="s">
        <v>35</v>
      </c>
      <c r="C1664">
        <v>22</v>
      </c>
      <c r="D1664" t="s">
        <v>17</v>
      </c>
      <c r="E1664" t="str">
        <f ca="1">IF(Table1[[#This Row],[is_smoker]]=0,"non-smoker","smoker")</f>
        <v>non-smoker</v>
      </c>
      <c r="F1664" t="s">
        <v>11</v>
      </c>
      <c r="G1664" s="2">
        <v>1.1544715447154399</v>
      </c>
      <c r="H1664" s="2">
        <v>3576.8353404562999</v>
      </c>
    </row>
    <row r="1665" spans="1:8" x14ac:dyDescent="0.3">
      <c r="A1665" t="s">
        <v>1733</v>
      </c>
      <c r="B1665" t="s">
        <v>50</v>
      </c>
      <c r="C1665">
        <v>42</v>
      </c>
      <c r="D1665" t="s">
        <v>17</v>
      </c>
      <c r="E1665" t="str">
        <f ca="1">IF(Table1[[#This Row],[is_smoker]]=0,"non-smoker","smoker")</f>
        <v>non-smoker</v>
      </c>
      <c r="F1665" t="s">
        <v>14</v>
      </c>
      <c r="G1665" s="2">
        <v>0.66666666666666596</v>
      </c>
      <c r="H1665" s="2">
        <v>1791.13030596461</v>
      </c>
    </row>
    <row r="1666" spans="1:8" x14ac:dyDescent="0.3">
      <c r="A1666" t="s">
        <v>1734</v>
      </c>
      <c r="B1666" t="s">
        <v>16</v>
      </c>
      <c r="C1666">
        <v>63</v>
      </c>
      <c r="D1666" t="s">
        <v>17</v>
      </c>
      <c r="E1666" t="str">
        <f ca="1">IF(Table1[[#This Row],[is_smoker]]=0,"non-smoker","smoker")</f>
        <v>non-smoker</v>
      </c>
      <c r="F1666" t="s">
        <v>2004</v>
      </c>
      <c r="G1666" s="2">
        <v>1.2073170731707299</v>
      </c>
      <c r="H1666" s="2">
        <v>2792.8502261643998</v>
      </c>
    </row>
    <row r="1667" spans="1:8" x14ac:dyDescent="0.3">
      <c r="A1667" t="s">
        <v>1735</v>
      </c>
      <c r="B1667" t="s">
        <v>50</v>
      </c>
      <c r="C1667">
        <v>50</v>
      </c>
      <c r="D1667" t="s">
        <v>10</v>
      </c>
      <c r="E1667" t="str">
        <f ca="1">IF(Table1[[#This Row],[is_smoker]]=0,"non-smoker","smoker")</f>
        <v>non-smoker</v>
      </c>
      <c r="F1667" t="s">
        <v>11</v>
      </c>
      <c r="G1667" s="2">
        <v>1.1544715447154399</v>
      </c>
      <c r="H1667" s="2">
        <v>1017.76929855815</v>
      </c>
    </row>
    <row r="1668" spans="1:8" x14ac:dyDescent="0.3">
      <c r="A1668" t="s">
        <v>1736</v>
      </c>
      <c r="B1668" t="s">
        <v>16</v>
      </c>
      <c r="C1668">
        <v>48</v>
      </c>
      <c r="D1668" t="s">
        <v>10</v>
      </c>
      <c r="E1668" t="str">
        <f ca="1">IF(Table1[[#This Row],[is_smoker]]=0,"non-smoker","smoker")</f>
        <v>non-smoker</v>
      </c>
      <c r="F1668" t="s">
        <v>19</v>
      </c>
      <c r="G1668" s="2">
        <v>1.11788617886178</v>
      </c>
      <c r="H1668" s="2">
        <v>999.66256061546301</v>
      </c>
    </row>
    <row r="1669" spans="1:8" x14ac:dyDescent="0.3">
      <c r="A1669" t="s">
        <v>1737</v>
      </c>
      <c r="B1669" t="s">
        <v>85</v>
      </c>
      <c r="C1669">
        <v>58</v>
      </c>
      <c r="D1669" t="s">
        <v>10</v>
      </c>
      <c r="E1669" t="str">
        <f ca="1">IF(Table1[[#This Row],[is_smoker]]=0,"non-smoker","smoker")</f>
        <v>non-smoker</v>
      </c>
      <c r="F1669" t="s">
        <v>11</v>
      </c>
      <c r="G1669" s="2">
        <v>1.1544715447154399</v>
      </c>
      <c r="H1669" s="2">
        <v>961.36971434314</v>
      </c>
    </row>
    <row r="1670" spans="1:8" x14ac:dyDescent="0.3">
      <c r="A1670" t="s">
        <v>1738</v>
      </c>
      <c r="B1670" t="s">
        <v>192</v>
      </c>
      <c r="C1670">
        <v>37</v>
      </c>
      <c r="D1670" t="s">
        <v>17</v>
      </c>
      <c r="E1670" t="str">
        <f ca="1">IF(Table1[[#This Row],[is_smoker]]=0,"non-smoker","smoker")</f>
        <v>non-smoker</v>
      </c>
      <c r="F1670" t="s">
        <v>27</v>
      </c>
      <c r="G1670" s="2">
        <v>0.53252032520325199</v>
      </c>
      <c r="H1670" s="2">
        <v>1482.6169068545601</v>
      </c>
    </row>
    <row r="1671" spans="1:8" x14ac:dyDescent="0.3">
      <c r="A1671" t="s">
        <v>1739</v>
      </c>
      <c r="B1671" t="s">
        <v>82</v>
      </c>
      <c r="C1671">
        <v>25</v>
      </c>
      <c r="D1671" t="s">
        <v>10</v>
      </c>
      <c r="E1671" t="str">
        <f ca="1">IF(Table1[[#This Row],[is_smoker]]=0,"non-smoker","smoker")</f>
        <v>non-smoker</v>
      </c>
      <c r="F1671" t="s">
        <v>48</v>
      </c>
      <c r="G1671" s="2">
        <v>0.46341463414634099</v>
      </c>
      <c r="H1671" s="2">
        <v>488.21087524812702</v>
      </c>
    </row>
    <row r="1672" spans="1:8" x14ac:dyDescent="0.3">
      <c r="A1672" t="s">
        <v>1740</v>
      </c>
      <c r="B1672" t="s">
        <v>31</v>
      </c>
      <c r="C1672">
        <v>18</v>
      </c>
      <c r="D1672" t="s">
        <v>17</v>
      </c>
      <c r="E1672" t="str">
        <f ca="1">IF(Table1[[#This Row],[is_smoker]]=0,"non-smoker","smoker")</f>
        <v>non-smoker</v>
      </c>
      <c r="F1672" t="s">
        <v>44</v>
      </c>
      <c r="G1672" s="2">
        <v>1.1341463414634101</v>
      </c>
      <c r="H1672" s="2">
        <v>3615.4658673270201</v>
      </c>
    </row>
    <row r="1673" spans="1:8" x14ac:dyDescent="0.3">
      <c r="A1673" t="s">
        <v>1741</v>
      </c>
      <c r="B1673" t="s">
        <v>82</v>
      </c>
      <c r="C1673">
        <v>19</v>
      </c>
      <c r="D1673" t="s">
        <v>10</v>
      </c>
      <c r="E1673" t="str">
        <f ca="1">IF(Table1[[#This Row],[is_smoker]]=0,"non-smoker","smoker")</f>
        <v>non-smoker</v>
      </c>
      <c r="F1673" t="s">
        <v>48</v>
      </c>
      <c r="G1673" s="2">
        <v>0.46341463414634099</v>
      </c>
      <c r="H1673" s="2">
        <v>509.53806267373602</v>
      </c>
    </row>
    <row r="1674" spans="1:8" x14ac:dyDescent="0.3">
      <c r="A1674" t="s">
        <v>1742</v>
      </c>
      <c r="B1674" t="s">
        <v>50</v>
      </c>
      <c r="C1674">
        <v>60</v>
      </c>
      <c r="D1674" t="s">
        <v>17</v>
      </c>
      <c r="E1674" t="str">
        <f ca="1">IF(Table1[[#This Row],[is_smoker]]=0,"non-smoker","smoker")</f>
        <v>non-smoker</v>
      </c>
      <c r="F1674" t="s">
        <v>27</v>
      </c>
      <c r="G1674" s="2">
        <v>0.53252032520325199</v>
      </c>
      <c r="H1674" s="2">
        <v>1258.4822182175401</v>
      </c>
    </row>
    <row r="1675" spans="1:8" x14ac:dyDescent="0.3">
      <c r="A1675" t="s">
        <v>1743</v>
      </c>
      <c r="B1675" t="s">
        <v>408</v>
      </c>
      <c r="C1675">
        <v>25</v>
      </c>
      <c r="D1675" t="s">
        <v>10</v>
      </c>
      <c r="E1675" t="str">
        <f ca="1">IF(Table1[[#This Row],[is_smoker]]=0,"non-smoker","smoker")</f>
        <v>smoker</v>
      </c>
      <c r="F1675" t="s">
        <v>44</v>
      </c>
      <c r="G1675" s="2">
        <v>1.1341463414634101</v>
      </c>
      <c r="H1675" s="2">
        <v>1283.1410923702499</v>
      </c>
    </row>
    <row r="1676" spans="1:8" x14ac:dyDescent="0.3">
      <c r="A1676" t="s">
        <v>1744</v>
      </c>
      <c r="B1676" t="s">
        <v>229</v>
      </c>
      <c r="C1676">
        <v>34</v>
      </c>
      <c r="D1676" t="s">
        <v>17</v>
      </c>
      <c r="E1676" t="str">
        <f ca="1">IF(Table1[[#This Row],[is_smoker]]=0,"non-smoker","smoker")</f>
        <v>non-smoker</v>
      </c>
      <c r="F1676" t="s">
        <v>19</v>
      </c>
      <c r="G1676" s="2">
        <v>1.11788617886178</v>
      </c>
      <c r="H1676" s="2">
        <v>3179.6179310294701</v>
      </c>
    </row>
    <row r="1677" spans="1:8" x14ac:dyDescent="0.3">
      <c r="A1677" t="s">
        <v>1745</v>
      </c>
      <c r="B1677" t="s">
        <v>41</v>
      </c>
      <c r="C1677">
        <v>52</v>
      </c>
      <c r="D1677" t="s">
        <v>17</v>
      </c>
      <c r="E1677" t="str">
        <f ca="1">IF(Table1[[#This Row],[is_smoker]]=0,"non-smoker","smoker")</f>
        <v>non-smoker</v>
      </c>
      <c r="F1677" t="s">
        <v>2004</v>
      </c>
      <c r="G1677" s="2">
        <v>1.2073170731707299</v>
      </c>
      <c r="H1677" s="2">
        <v>3020.5855931026499</v>
      </c>
    </row>
    <row r="1678" spans="1:8" x14ac:dyDescent="0.3">
      <c r="A1678" t="s">
        <v>1746</v>
      </c>
      <c r="B1678" t="s">
        <v>35</v>
      </c>
      <c r="C1678">
        <v>19</v>
      </c>
      <c r="D1678" t="s">
        <v>17</v>
      </c>
      <c r="E1678" t="str">
        <f ca="1">IF(Table1[[#This Row],[is_smoker]]=0,"non-smoker","smoker")</f>
        <v>non-smoker</v>
      </c>
      <c r="F1678" t="s">
        <v>61</v>
      </c>
      <c r="G1678" s="2">
        <v>1.61788617886178</v>
      </c>
      <c r="H1678" s="2">
        <v>5120.9232979287399</v>
      </c>
    </row>
    <row r="1679" spans="1:8" x14ac:dyDescent="0.3">
      <c r="A1679" t="s">
        <v>1747</v>
      </c>
      <c r="B1679" t="s">
        <v>50</v>
      </c>
      <c r="C1679">
        <v>31</v>
      </c>
      <c r="D1679" t="s">
        <v>10</v>
      </c>
      <c r="E1679" t="str">
        <f ca="1">IF(Table1[[#This Row],[is_smoker]]=0,"non-smoker","smoker")</f>
        <v>non-smoker</v>
      </c>
      <c r="F1679" t="s">
        <v>27</v>
      </c>
      <c r="G1679" s="2">
        <v>0.53252032520325199</v>
      </c>
      <c r="H1679" s="2">
        <v>537.53248041269501</v>
      </c>
    </row>
    <row r="1680" spans="1:8" x14ac:dyDescent="0.3">
      <c r="A1680" t="s">
        <v>1748</v>
      </c>
      <c r="B1680" t="s">
        <v>63</v>
      </c>
      <c r="C1680">
        <v>28</v>
      </c>
      <c r="D1680" t="s">
        <v>10</v>
      </c>
      <c r="E1680" t="str">
        <f ca="1">IF(Table1[[#This Row],[is_smoker]]=0,"non-smoker","smoker")</f>
        <v>non-smoker</v>
      </c>
      <c r="F1680" t="s">
        <v>24</v>
      </c>
      <c r="G1680" s="2">
        <v>1.70325203252032</v>
      </c>
      <c r="H1680" s="2">
        <v>1756.43478729555</v>
      </c>
    </row>
    <row r="1681" spans="1:8" x14ac:dyDescent="0.3">
      <c r="A1681" t="s">
        <v>1749</v>
      </c>
      <c r="B1681" t="s">
        <v>13</v>
      </c>
      <c r="C1681">
        <v>35</v>
      </c>
      <c r="D1681" t="s">
        <v>10</v>
      </c>
      <c r="E1681" t="str">
        <f ca="1">IF(Table1[[#This Row],[is_smoker]]=0,"non-smoker","smoker")</f>
        <v>non-smoker</v>
      </c>
      <c r="F1681" t="s">
        <v>27</v>
      </c>
      <c r="G1681" s="2">
        <v>0.53252032520325199</v>
      </c>
      <c r="H1681" s="2">
        <v>522.42657044520001</v>
      </c>
    </row>
    <row r="1682" spans="1:8" x14ac:dyDescent="0.3">
      <c r="A1682" t="s">
        <v>1750</v>
      </c>
      <c r="B1682" t="s">
        <v>23</v>
      </c>
      <c r="C1682">
        <v>32</v>
      </c>
      <c r="D1682" t="s">
        <v>10</v>
      </c>
      <c r="E1682" t="str">
        <f ca="1">IF(Table1[[#This Row],[is_smoker]]=0,"non-smoker","smoker")</f>
        <v>non-smoker</v>
      </c>
      <c r="F1682" t="s">
        <v>27</v>
      </c>
      <c r="G1682" s="2">
        <v>0.53252032520325199</v>
      </c>
      <c r="H1682" s="2">
        <v>533.71553971867399</v>
      </c>
    </row>
    <row r="1683" spans="1:8" x14ac:dyDescent="0.3">
      <c r="A1683" t="s">
        <v>1751</v>
      </c>
      <c r="B1683" t="s">
        <v>60</v>
      </c>
      <c r="C1683">
        <v>61</v>
      </c>
      <c r="D1683" t="s">
        <v>10</v>
      </c>
      <c r="E1683" t="str">
        <f ca="1">IF(Table1[[#This Row],[is_smoker]]=0,"non-smoker","smoker")</f>
        <v>non-smoker</v>
      </c>
      <c r="F1683" t="s">
        <v>44</v>
      </c>
      <c r="G1683" s="2">
        <v>1.1341463414634101</v>
      </c>
      <c r="H1683" s="2">
        <v>924.46762941791997</v>
      </c>
    </row>
    <row r="1684" spans="1:8" x14ac:dyDescent="0.3">
      <c r="A1684" t="s">
        <v>1752</v>
      </c>
      <c r="B1684" t="s">
        <v>23</v>
      </c>
      <c r="C1684">
        <v>33</v>
      </c>
      <c r="D1684" t="s">
        <v>17</v>
      </c>
      <c r="E1684" t="str">
        <f ca="1">IF(Table1[[#This Row],[is_smoker]]=0,"non-smoker","smoker")</f>
        <v>non-smoker</v>
      </c>
      <c r="F1684" t="s">
        <v>56</v>
      </c>
      <c r="G1684" s="2">
        <v>0.19512195121951201</v>
      </c>
      <c r="H1684" s="2">
        <v>558.95692967373805</v>
      </c>
    </row>
    <row r="1685" spans="1:8" x14ac:dyDescent="0.3">
      <c r="A1685" t="s">
        <v>1753</v>
      </c>
      <c r="B1685" t="s">
        <v>13</v>
      </c>
      <c r="C1685">
        <v>40</v>
      </c>
      <c r="D1685" t="s">
        <v>17</v>
      </c>
      <c r="E1685" t="str">
        <f ca="1">IF(Table1[[#This Row],[is_smoker]]=0,"non-smoker","smoker")</f>
        <v>non-smoker</v>
      </c>
      <c r="F1685" t="s">
        <v>11</v>
      </c>
      <c r="G1685" s="2">
        <v>1.1544715447154399</v>
      </c>
      <c r="H1685" s="2">
        <v>3146.2367645235599</v>
      </c>
    </row>
    <row r="1686" spans="1:8" x14ac:dyDescent="0.3">
      <c r="A1686" t="s">
        <v>1754</v>
      </c>
      <c r="B1686" t="s">
        <v>43</v>
      </c>
      <c r="C1686">
        <v>19</v>
      </c>
      <c r="D1686" t="s">
        <v>10</v>
      </c>
      <c r="E1686" t="str">
        <f ca="1">IF(Table1[[#This Row],[is_smoker]]=0,"non-smoker","smoker")</f>
        <v>non-smoker</v>
      </c>
      <c r="F1686" t="s">
        <v>56</v>
      </c>
      <c r="G1686" s="2">
        <v>0.19512195121951201</v>
      </c>
      <c r="H1686" s="2">
        <v>214.542342178415</v>
      </c>
    </row>
    <row r="1687" spans="1:8" x14ac:dyDescent="0.3">
      <c r="A1687" t="s">
        <v>1755</v>
      </c>
      <c r="B1687" t="s">
        <v>175</v>
      </c>
      <c r="C1687">
        <v>35</v>
      </c>
      <c r="D1687" t="s">
        <v>10</v>
      </c>
      <c r="E1687" t="str">
        <f ca="1">IF(Table1[[#This Row],[is_smoker]]=0,"non-smoker","smoker")</f>
        <v>non-smoker</v>
      </c>
      <c r="F1687" t="s">
        <v>19</v>
      </c>
      <c r="G1687" s="2">
        <v>1.11788617886178</v>
      </c>
      <c r="H1687" s="2">
        <v>1096.69699902618</v>
      </c>
    </row>
    <row r="1688" spans="1:8" x14ac:dyDescent="0.3">
      <c r="A1688" t="s">
        <v>1756</v>
      </c>
      <c r="B1688" t="s">
        <v>13</v>
      </c>
      <c r="C1688">
        <v>57</v>
      </c>
      <c r="D1688" t="s">
        <v>17</v>
      </c>
      <c r="E1688" t="str">
        <f ca="1">IF(Table1[[#This Row],[is_smoker]]=0,"non-smoker","smoker")</f>
        <v>non-smoker</v>
      </c>
      <c r="F1688" t="s">
        <v>24</v>
      </c>
      <c r="G1688" s="2">
        <v>1.70325203252032</v>
      </c>
      <c r="H1688" s="2">
        <v>4112.2016395606297</v>
      </c>
    </row>
    <row r="1689" spans="1:8" x14ac:dyDescent="0.3">
      <c r="A1689" t="s">
        <v>1757</v>
      </c>
      <c r="B1689" t="s">
        <v>50</v>
      </c>
      <c r="C1689">
        <v>45</v>
      </c>
      <c r="D1689" t="s">
        <v>10</v>
      </c>
      <c r="E1689" t="str">
        <f ca="1">IF(Table1[[#This Row],[is_smoker]]=0,"non-smoker","smoker")</f>
        <v>non-smoker</v>
      </c>
      <c r="F1689" t="s">
        <v>2004</v>
      </c>
      <c r="G1689" s="2">
        <v>1.2073170731707299</v>
      </c>
      <c r="H1689" s="2">
        <v>1102.9651076713501</v>
      </c>
    </row>
    <row r="1690" spans="1:8" x14ac:dyDescent="0.3">
      <c r="A1690" t="s">
        <v>1758</v>
      </c>
      <c r="B1690" t="s">
        <v>113</v>
      </c>
      <c r="C1690">
        <v>24</v>
      </c>
      <c r="D1690" t="s">
        <v>10</v>
      </c>
      <c r="E1690" t="str">
        <f ca="1">IF(Table1[[#This Row],[is_smoker]]=0,"non-smoker","smoker")</f>
        <v>non-smoker</v>
      </c>
      <c r="F1690" t="s">
        <v>14</v>
      </c>
      <c r="G1690" s="2">
        <v>0.66666666666666596</v>
      </c>
      <c r="H1690" s="2">
        <v>707.36132294671597</v>
      </c>
    </row>
    <row r="1691" spans="1:8" x14ac:dyDescent="0.3">
      <c r="A1691" t="s">
        <v>1759</v>
      </c>
      <c r="B1691" t="s">
        <v>23</v>
      </c>
      <c r="C1691">
        <v>43</v>
      </c>
      <c r="D1691" t="s">
        <v>10</v>
      </c>
      <c r="E1691" t="str">
        <f ca="1">IF(Table1[[#This Row],[is_smoker]]=0,"non-smoker","smoker")</f>
        <v>non-smoker</v>
      </c>
      <c r="F1691" t="s">
        <v>19</v>
      </c>
      <c r="G1691" s="2">
        <v>1.11788617886178</v>
      </c>
      <c r="H1691" s="2">
        <v>1035.92364415828</v>
      </c>
    </row>
    <row r="1692" spans="1:8" x14ac:dyDescent="0.3">
      <c r="A1692" t="s">
        <v>1760</v>
      </c>
      <c r="B1692" t="s">
        <v>50</v>
      </c>
      <c r="C1692">
        <v>48</v>
      </c>
      <c r="D1692" t="s">
        <v>17</v>
      </c>
      <c r="E1692" t="str">
        <f ca="1">IF(Table1[[#This Row],[is_smoker]]=0,"non-smoker","smoker")</f>
        <v>non-smoker</v>
      </c>
      <c r="F1692" t="s">
        <v>14</v>
      </c>
      <c r="G1692" s="2">
        <v>0.66666666666666596</v>
      </c>
      <c r="H1692" s="2">
        <v>1716.1608884915599</v>
      </c>
    </row>
    <row r="1693" spans="1:8" x14ac:dyDescent="0.3">
      <c r="A1693" t="s">
        <v>1761</v>
      </c>
      <c r="B1693" t="s">
        <v>166</v>
      </c>
      <c r="C1693">
        <v>36</v>
      </c>
      <c r="D1693" t="s">
        <v>10</v>
      </c>
      <c r="E1693" t="str">
        <f ca="1">IF(Table1[[#This Row],[is_smoker]]=0,"non-smoker","smoker")</f>
        <v>non-smoker</v>
      </c>
      <c r="F1693" t="s">
        <v>14</v>
      </c>
      <c r="G1693" s="2">
        <v>0.66666666666666596</v>
      </c>
      <c r="H1693" s="2">
        <v>649.38603603955198</v>
      </c>
    </row>
    <row r="1694" spans="1:8" x14ac:dyDescent="0.3">
      <c r="A1694" t="s">
        <v>1762</v>
      </c>
      <c r="B1694" t="s">
        <v>50</v>
      </c>
      <c r="C1694">
        <v>30</v>
      </c>
      <c r="D1694" t="s">
        <v>17</v>
      </c>
      <c r="E1694" t="str">
        <f ca="1">IF(Table1[[#This Row],[is_smoker]]=0,"non-smoker","smoker")</f>
        <v>non-smoker</v>
      </c>
      <c r="F1694" t="s">
        <v>2004</v>
      </c>
      <c r="G1694" s="2">
        <v>1.2073170731707299</v>
      </c>
      <c r="H1694" s="2">
        <v>3533.2807531523899</v>
      </c>
    </row>
    <row r="1695" spans="1:8" x14ac:dyDescent="0.3">
      <c r="A1695" t="s">
        <v>1763</v>
      </c>
      <c r="B1695" t="s">
        <v>128</v>
      </c>
      <c r="C1695">
        <v>53</v>
      </c>
      <c r="D1695" t="s">
        <v>10</v>
      </c>
      <c r="E1695" t="str">
        <f ca="1">IF(Table1[[#This Row],[is_smoker]]=0,"non-smoker","smoker")</f>
        <v>non-smoker</v>
      </c>
      <c r="F1695" t="s">
        <v>48</v>
      </c>
      <c r="G1695" s="2">
        <v>0.46341463414634099</v>
      </c>
      <c r="H1695" s="2">
        <v>399.89987308217599</v>
      </c>
    </row>
    <row r="1696" spans="1:8" x14ac:dyDescent="0.3">
      <c r="A1696" t="s">
        <v>1764</v>
      </c>
      <c r="B1696" t="s">
        <v>13</v>
      </c>
      <c r="C1696">
        <v>38</v>
      </c>
      <c r="D1696" t="s">
        <v>10</v>
      </c>
      <c r="E1696" t="str">
        <f ca="1">IF(Table1[[#This Row],[is_smoker]]=0,"non-smoker","smoker")</f>
        <v>non-smoker</v>
      </c>
      <c r="F1696" t="s">
        <v>56</v>
      </c>
      <c r="G1696" s="2">
        <v>0.19512195121951201</v>
      </c>
      <c r="H1696" s="2">
        <v>187.37455203808699</v>
      </c>
    </row>
    <row r="1697" spans="1:8" x14ac:dyDescent="0.3">
      <c r="A1697" t="s">
        <v>1765</v>
      </c>
      <c r="B1697" t="s">
        <v>46</v>
      </c>
      <c r="C1697">
        <v>52</v>
      </c>
      <c r="D1697" t="s">
        <v>10</v>
      </c>
      <c r="E1697" t="str">
        <f ca="1">IF(Table1[[#This Row],[is_smoker]]=0,"non-smoker","smoker")</f>
        <v>non-smoker</v>
      </c>
      <c r="F1697" t="s">
        <v>27</v>
      </c>
      <c r="G1697" s="2">
        <v>0.53252032520325199</v>
      </c>
      <c r="H1697" s="2">
        <v>462.82048627050898</v>
      </c>
    </row>
    <row r="1698" spans="1:8" x14ac:dyDescent="0.3">
      <c r="A1698" t="s">
        <v>1766</v>
      </c>
      <c r="B1698" t="s">
        <v>106</v>
      </c>
      <c r="C1698">
        <v>54</v>
      </c>
      <c r="D1698" t="s">
        <v>17</v>
      </c>
      <c r="E1698" t="str">
        <f ca="1">IF(Table1[[#This Row],[is_smoker]]=0,"non-smoker","smoker")</f>
        <v>non-smoker</v>
      </c>
      <c r="F1698" t="s">
        <v>61</v>
      </c>
      <c r="G1698" s="2">
        <v>1.61788617886178</v>
      </c>
      <c r="H1698" s="2">
        <v>3990.5066792160401</v>
      </c>
    </row>
    <row r="1699" spans="1:8" x14ac:dyDescent="0.3">
      <c r="A1699" t="s">
        <v>1767</v>
      </c>
      <c r="B1699" t="s">
        <v>29</v>
      </c>
      <c r="C1699">
        <v>26</v>
      </c>
      <c r="D1699" t="s">
        <v>17</v>
      </c>
      <c r="E1699" t="str">
        <f ca="1">IF(Table1[[#This Row],[is_smoker]]=0,"non-smoker","smoker")</f>
        <v>non-smoker</v>
      </c>
      <c r="F1699" t="s">
        <v>14</v>
      </c>
      <c r="G1699" s="2">
        <v>0.66666666666666596</v>
      </c>
      <c r="H1699" s="2">
        <v>2007.4512208712799</v>
      </c>
    </row>
    <row r="1700" spans="1:8" x14ac:dyDescent="0.3">
      <c r="A1700" t="s">
        <v>1768</v>
      </c>
      <c r="B1700" t="s">
        <v>60</v>
      </c>
      <c r="C1700">
        <v>27</v>
      </c>
      <c r="D1700" t="s">
        <v>17</v>
      </c>
      <c r="E1700" t="str">
        <f ca="1">IF(Table1[[#This Row],[is_smoker]]=0,"non-smoker","smoker")</f>
        <v>non-smoker</v>
      </c>
      <c r="F1700" t="s">
        <v>24</v>
      </c>
      <c r="G1700" s="2">
        <v>1.70325203252032</v>
      </c>
      <c r="H1700" s="2">
        <v>5092.3742376681503</v>
      </c>
    </row>
    <row r="1701" spans="1:8" x14ac:dyDescent="0.3">
      <c r="A1701" t="s">
        <v>1769</v>
      </c>
      <c r="B1701" t="s">
        <v>60</v>
      </c>
      <c r="C1701">
        <v>45</v>
      </c>
      <c r="D1701" t="s">
        <v>17</v>
      </c>
      <c r="E1701" t="str">
        <f ca="1">IF(Table1[[#This Row],[is_smoker]]=0,"non-smoker","smoker")</f>
        <v>non-smoker</v>
      </c>
      <c r="F1701" t="s">
        <v>19</v>
      </c>
      <c r="G1701" s="2">
        <v>1.11788617886178</v>
      </c>
      <c r="H1701" s="2">
        <v>2939.8924096272899</v>
      </c>
    </row>
    <row r="1702" spans="1:8" x14ac:dyDescent="0.3">
      <c r="A1702" t="s">
        <v>1770</v>
      </c>
      <c r="B1702" t="s">
        <v>113</v>
      </c>
      <c r="C1702">
        <v>55</v>
      </c>
      <c r="D1702" t="s">
        <v>17</v>
      </c>
      <c r="E1702" t="str">
        <f ca="1">IF(Table1[[#This Row],[is_smoker]]=0,"non-smoker","smoker")</f>
        <v>non-smoker</v>
      </c>
      <c r="F1702" t="s">
        <v>48</v>
      </c>
      <c r="G1702" s="2">
        <v>0.46341463414634099</v>
      </c>
      <c r="H1702" s="2">
        <v>1134.89310540881</v>
      </c>
    </row>
    <row r="1703" spans="1:8" x14ac:dyDescent="0.3">
      <c r="A1703" t="s">
        <v>1771</v>
      </c>
      <c r="B1703" t="s">
        <v>113</v>
      </c>
      <c r="C1703">
        <v>24</v>
      </c>
      <c r="D1703" t="s">
        <v>10</v>
      </c>
      <c r="E1703" t="str">
        <f ca="1">IF(Table1[[#This Row],[is_smoker]]=0,"non-smoker","smoker")</f>
        <v>non-smoker</v>
      </c>
      <c r="F1703" t="s">
        <v>14</v>
      </c>
      <c r="G1703" s="2">
        <v>0.66666666666666596</v>
      </c>
      <c r="H1703" s="2">
        <v>707.36132294671597</v>
      </c>
    </row>
    <row r="1704" spans="1:8" x14ac:dyDescent="0.3">
      <c r="A1704" t="s">
        <v>1772</v>
      </c>
      <c r="B1704" t="s">
        <v>13</v>
      </c>
      <c r="C1704">
        <v>58</v>
      </c>
      <c r="D1704" t="s">
        <v>17</v>
      </c>
      <c r="E1704" t="str">
        <f ca="1">IF(Table1[[#This Row],[is_smoker]]=0,"non-smoker","smoker")</f>
        <v>non-smoker</v>
      </c>
      <c r="F1704" t="s">
        <v>48</v>
      </c>
      <c r="G1704" s="2">
        <v>0.46341463414634099</v>
      </c>
      <c r="H1704" s="2">
        <v>1110.8882330710201</v>
      </c>
    </row>
    <row r="1705" spans="1:8" x14ac:dyDescent="0.3">
      <c r="A1705" t="s">
        <v>1773</v>
      </c>
      <c r="B1705" t="s">
        <v>92</v>
      </c>
      <c r="C1705">
        <v>34</v>
      </c>
      <c r="D1705" t="s">
        <v>17</v>
      </c>
      <c r="E1705" t="str">
        <f ca="1">IF(Table1[[#This Row],[is_smoker]]=0,"non-smoker","smoker")</f>
        <v>non-smoker</v>
      </c>
      <c r="F1705" t="s">
        <v>48</v>
      </c>
      <c r="G1705" s="2">
        <v>0.46341463414634099</v>
      </c>
      <c r="H1705" s="2">
        <v>1318.09616049949</v>
      </c>
    </row>
    <row r="1706" spans="1:8" x14ac:dyDescent="0.3">
      <c r="A1706" t="s">
        <v>1774</v>
      </c>
      <c r="B1706" t="s">
        <v>92</v>
      </c>
      <c r="C1706">
        <v>49</v>
      </c>
      <c r="D1706" t="s">
        <v>17</v>
      </c>
      <c r="E1706" t="str">
        <f ca="1">IF(Table1[[#This Row],[is_smoker]]=0,"non-smoker","smoker")</f>
        <v>non-smoker</v>
      </c>
      <c r="F1706" t="s">
        <v>14</v>
      </c>
      <c r="G1706" s="2">
        <v>0.66666666666666596</v>
      </c>
      <c r="H1706" s="2">
        <v>1703.9746772922899</v>
      </c>
    </row>
    <row r="1707" spans="1:8" x14ac:dyDescent="0.3">
      <c r="A1707" t="s">
        <v>1775</v>
      </c>
      <c r="B1707" t="s">
        <v>88</v>
      </c>
      <c r="C1707">
        <v>54</v>
      </c>
      <c r="D1707" t="s">
        <v>17</v>
      </c>
      <c r="E1707" t="str">
        <f ca="1">IF(Table1[[#This Row],[is_smoker]]=0,"non-smoker","smoker")</f>
        <v>non-smoker</v>
      </c>
      <c r="F1707" t="s">
        <v>44</v>
      </c>
      <c r="G1707" s="2">
        <v>1.1341463414634101</v>
      </c>
      <c r="H1707" s="2">
        <v>2797.36523492783</v>
      </c>
    </row>
    <row r="1708" spans="1:8" x14ac:dyDescent="0.3">
      <c r="A1708" t="s">
        <v>1776</v>
      </c>
      <c r="B1708" t="s">
        <v>29</v>
      </c>
      <c r="C1708">
        <v>30</v>
      </c>
      <c r="D1708" t="s">
        <v>10</v>
      </c>
      <c r="E1708" t="str">
        <f ca="1">IF(Table1[[#This Row],[is_smoker]]=0,"non-smoker","smoker")</f>
        <v>non-smoker</v>
      </c>
      <c r="F1708" t="s">
        <v>11</v>
      </c>
      <c r="G1708" s="2">
        <v>1.1544715447154399</v>
      </c>
      <c r="H1708" s="2">
        <v>1173.6716645070201</v>
      </c>
    </row>
    <row r="1709" spans="1:8" x14ac:dyDescent="0.3">
      <c r="A1709" t="s">
        <v>1777</v>
      </c>
      <c r="B1709" t="s">
        <v>13</v>
      </c>
      <c r="C1709">
        <v>27</v>
      </c>
      <c r="D1709" t="s">
        <v>17</v>
      </c>
      <c r="E1709" t="str">
        <f ca="1">IF(Table1[[#This Row],[is_smoker]]=0,"non-smoker","smoker")</f>
        <v>non-smoker</v>
      </c>
      <c r="F1709" t="s">
        <v>24</v>
      </c>
      <c r="G1709" s="2">
        <v>1.70325203252032</v>
      </c>
      <c r="H1709" s="2">
        <v>5092.3742376681503</v>
      </c>
    </row>
    <row r="1710" spans="1:8" x14ac:dyDescent="0.3">
      <c r="A1710" t="s">
        <v>1778</v>
      </c>
      <c r="B1710" t="s">
        <v>178</v>
      </c>
      <c r="C1710">
        <v>64</v>
      </c>
      <c r="D1710" t="s">
        <v>10</v>
      </c>
      <c r="E1710" t="str">
        <f ca="1">IF(Table1[[#This Row],[is_smoker]]=0,"non-smoker","smoker")</f>
        <v>non-smoker</v>
      </c>
      <c r="F1710" t="s">
        <v>27</v>
      </c>
      <c r="G1710" s="2">
        <v>0.53252032520325199</v>
      </c>
      <c r="H1710" s="2">
        <v>424.88775004700699</v>
      </c>
    </row>
    <row r="1711" spans="1:8" x14ac:dyDescent="0.3">
      <c r="A1711" t="s">
        <v>1779</v>
      </c>
      <c r="B1711" t="s">
        <v>82</v>
      </c>
      <c r="C1711">
        <v>34</v>
      </c>
      <c r="D1711" t="s">
        <v>17</v>
      </c>
      <c r="E1711" t="str">
        <f ca="1">IF(Table1[[#This Row],[is_smoker]]=0,"non-smoker","smoker")</f>
        <v>non-smoker</v>
      </c>
      <c r="F1711" t="s">
        <v>27</v>
      </c>
      <c r="G1711" s="2">
        <v>0.53252032520325199</v>
      </c>
      <c r="H1711" s="2">
        <v>1514.6543598722201</v>
      </c>
    </row>
    <row r="1712" spans="1:8" x14ac:dyDescent="0.3">
      <c r="A1712" t="s">
        <v>1780</v>
      </c>
      <c r="B1712" t="s">
        <v>33</v>
      </c>
      <c r="C1712">
        <v>51</v>
      </c>
      <c r="D1712" t="s">
        <v>10</v>
      </c>
      <c r="E1712" t="str">
        <f ca="1">IF(Table1[[#This Row],[is_smoker]]=0,"non-smoker","smoker")</f>
        <v>non-smoker</v>
      </c>
      <c r="F1712" t="s">
        <v>24</v>
      </c>
      <c r="G1712" s="2">
        <v>1.70325203252032</v>
      </c>
      <c r="H1712" s="2">
        <v>1490.9056662248099</v>
      </c>
    </row>
    <row r="1713" spans="1:8" x14ac:dyDescent="0.3">
      <c r="A1713" t="s">
        <v>1781</v>
      </c>
      <c r="B1713" t="s">
        <v>166</v>
      </c>
      <c r="C1713">
        <v>19</v>
      </c>
      <c r="D1713" t="s">
        <v>10</v>
      </c>
      <c r="E1713" t="str">
        <f ca="1">IF(Table1[[#This Row],[is_smoker]]=0,"non-smoker","smoker")</f>
        <v>non-smoker</v>
      </c>
      <c r="F1713" t="s">
        <v>44</v>
      </c>
      <c r="G1713" s="2">
        <v>1.1341463414634101</v>
      </c>
      <c r="H1713" s="2">
        <v>1247.0273639120401</v>
      </c>
    </row>
    <row r="1714" spans="1:8" x14ac:dyDescent="0.3">
      <c r="A1714" t="s">
        <v>1782</v>
      </c>
      <c r="B1714" t="s">
        <v>13</v>
      </c>
      <c r="C1714">
        <v>56</v>
      </c>
      <c r="D1714" t="s">
        <v>10</v>
      </c>
      <c r="E1714" t="str">
        <f ca="1">IF(Table1[[#This Row],[is_smoker]]=0,"non-smoker","smoker")</f>
        <v>non-smoker</v>
      </c>
      <c r="F1714" t="s">
        <v>27</v>
      </c>
      <c r="G1714" s="2">
        <v>0.53252032520325199</v>
      </c>
      <c r="H1714" s="2">
        <v>449.81415669699697</v>
      </c>
    </row>
    <row r="1715" spans="1:8" x14ac:dyDescent="0.3">
      <c r="A1715" t="s">
        <v>1783</v>
      </c>
      <c r="B1715" t="s">
        <v>85</v>
      </c>
      <c r="C1715">
        <v>50</v>
      </c>
      <c r="D1715" t="s">
        <v>17</v>
      </c>
      <c r="E1715" t="str">
        <f ca="1">IF(Table1[[#This Row],[is_smoker]]=0,"non-smoker","smoker")</f>
        <v>non-smoker</v>
      </c>
      <c r="F1715" t="s">
        <v>48</v>
      </c>
      <c r="G1715" s="2">
        <v>0.46341463414634099</v>
      </c>
      <c r="H1715" s="2">
        <v>1176.0594502622801</v>
      </c>
    </row>
    <row r="1716" spans="1:8" x14ac:dyDescent="0.3">
      <c r="A1716" t="s">
        <v>1784</v>
      </c>
      <c r="B1716" t="s">
        <v>85</v>
      </c>
      <c r="C1716">
        <v>65</v>
      </c>
      <c r="D1716" t="s">
        <v>17</v>
      </c>
      <c r="E1716" t="str">
        <f ca="1">IF(Table1[[#This Row],[is_smoker]]=0,"non-smoker","smoker")</f>
        <v>non-smoker</v>
      </c>
      <c r="F1716" t="s">
        <v>2004</v>
      </c>
      <c r="G1716" s="2">
        <v>1.2073170731707299</v>
      </c>
      <c r="H1716" s="2">
        <v>2753.3277935842002</v>
      </c>
    </row>
    <row r="1717" spans="1:8" x14ac:dyDescent="0.3">
      <c r="A1717" t="s">
        <v>1785</v>
      </c>
      <c r="B1717" t="s">
        <v>13</v>
      </c>
      <c r="C1717">
        <v>24</v>
      </c>
      <c r="D1717" t="s">
        <v>10</v>
      </c>
      <c r="E1717" t="str">
        <f ca="1">IF(Table1[[#This Row],[is_smoker]]=0,"non-smoker","smoker")</f>
        <v>non-smoker</v>
      </c>
      <c r="F1717" t="s">
        <v>19</v>
      </c>
      <c r="G1717" s="2">
        <v>1.11788617886178</v>
      </c>
      <c r="H1717" s="2">
        <v>1186.1241695752799</v>
      </c>
    </row>
    <row r="1718" spans="1:8" x14ac:dyDescent="0.3">
      <c r="A1718" t="s">
        <v>1786</v>
      </c>
      <c r="B1718" t="s">
        <v>106</v>
      </c>
      <c r="C1718">
        <v>55</v>
      </c>
      <c r="D1718" t="s">
        <v>10</v>
      </c>
      <c r="E1718" t="str">
        <f ca="1">IF(Table1[[#This Row],[is_smoker]]=0,"non-smoker","smoker")</f>
        <v>non-smoker</v>
      </c>
      <c r="F1718" t="s">
        <v>56</v>
      </c>
      <c r="G1718" s="2">
        <v>0.19512195121951201</v>
      </c>
      <c r="H1718" s="2">
        <v>165.996115425532</v>
      </c>
    </row>
    <row r="1719" spans="1:8" x14ac:dyDescent="0.3">
      <c r="A1719" t="s">
        <v>1787</v>
      </c>
      <c r="B1719" t="s">
        <v>50</v>
      </c>
      <c r="C1719">
        <v>37</v>
      </c>
      <c r="D1719" t="s">
        <v>10</v>
      </c>
      <c r="E1719" t="str">
        <f ca="1">IF(Table1[[#This Row],[is_smoker]]=0,"non-smoker","smoker")</f>
        <v>non-smoker</v>
      </c>
      <c r="F1719" t="s">
        <v>27</v>
      </c>
      <c r="G1719" s="2">
        <v>0.53252032520325199</v>
      </c>
      <c r="H1719" s="2">
        <v>515.03356071088103</v>
      </c>
    </row>
    <row r="1720" spans="1:8" x14ac:dyDescent="0.3">
      <c r="A1720" t="s">
        <v>1788</v>
      </c>
      <c r="B1720" t="s">
        <v>13</v>
      </c>
      <c r="C1720">
        <v>43</v>
      </c>
      <c r="D1720" t="s">
        <v>10</v>
      </c>
      <c r="E1720" t="str">
        <f ca="1">IF(Table1[[#This Row],[is_smoker]]=0,"non-smoker","smoker")</f>
        <v>non-smoker</v>
      </c>
      <c r="F1720" t="s">
        <v>24</v>
      </c>
      <c r="G1720" s="2">
        <v>1.70325203252032</v>
      </c>
      <c r="H1720" s="2">
        <v>1578.37093419026</v>
      </c>
    </row>
    <row r="1721" spans="1:8" x14ac:dyDescent="0.3">
      <c r="A1721" t="s">
        <v>1789</v>
      </c>
      <c r="B1721" t="s">
        <v>82</v>
      </c>
      <c r="C1721">
        <v>29</v>
      </c>
      <c r="D1721" t="s">
        <v>10</v>
      </c>
      <c r="E1721" t="str">
        <f ca="1">IF(Table1[[#This Row],[is_smoker]]=0,"non-smoker","smoker")</f>
        <v>non-smoker</v>
      </c>
      <c r="F1721" t="s">
        <v>2004</v>
      </c>
      <c r="G1721" s="2">
        <v>1.2073170731707299</v>
      </c>
      <c r="H1721" s="2">
        <v>1236.1739648980199</v>
      </c>
    </row>
    <row r="1722" spans="1:8" x14ac:dyDescent="0.3">
      <c r="A1722" t="s">
        <v>1790</v>
      </c>
      <c r="B1722" t="s">
        <v>29</v>
      </c>
      <c r="C1722">
        <v>49</v>
      </c>
      <c r="D1722" t="s">
        <v>10</v>
      </c>
      <c r="E1722" t="str">
        <f ca="1">IF(Table1[[#This Row],[is_smoker]]=0,"non-smoker","smoker")</f>
        <v>non-smoker</v>
      </c>
      <c r="F1722" t="s">
        <v>14</v>
      </c>
      <c r="G1722" s="2">
        <v>0.66666666666666596</v>
      </c>
      <c r="H1722" s="2">
        <v>591.92913648132003</v>
      </c>
    </row>
    <row r="1723" spans="1:8" x14ac:dyDescent="0.3">
      <c r="A1723" t="s">
        <v>1791</v>
      </c>
      <c r="B1723" t="s">
        <v>13</v>
      </c>
      <c r="C1723">
        <v>55</v>
      </c>
      <c r="D1723" t="s">
        <v>17</v>
      </c>
      <c r="E1723" t="str">
        <f ca="1">IF(Table1[[#This Row],[is_smoker]]=0,"non-smoker","smoker")</f>
        <v>non-smoker</v>
      </c>
      <c r="F1723" t="s">
        <v>11</v>
      </c>
      <c r="G1723" s="2">
        <v>1.1544715447154399</v>
      </c>
      <c r="H1723" s="2">
        <v>2827.2775608430002</v>
      </c>
    </row>
    <row r="1724" spans="1:8" x14ac:dyDescent="0.3">
      <c r="A1724" t="s">
        <v>1792</v>
      </c>
      <c r="B1724" t="s">
        <v>16</v>
      </c>
      <c r="C1724">
        <v>43</v>
      </c>
      <c r="D1724" t="s">
        <v>17</v>
      </c>
      <c r="E1724" t="str">
        <f ca="1">IF(Table1[[#This Row],[is_smoker]]=0,"non-smoker","smoker")</f>
        <v>non-smoker</v>
      </c>
      <c r="F1724" t="s">
        <v>24</v>
      </c>
      <c r="G1724" s="2">
        <v>1.70325203252032</v>
      </c>
      <c r="H1724" s="2">
        <v>4543.62513597819</v>
      </c>
    </row>
    <row r="1725" spans="1:8" x14ac:dyDescent="0.3">
      <c r="A1725" t="s">
        <v>1793</v>
      </c>
      <c r="B1725" t="s">
        <v>113</v>
      </c>
      <c r="C1725">
        <v>45</v>
      </c>
      <c r="D1725" t="s">
        <v>10</v>
      </c>
      <c r="E1725" t="str">
        <f ca="1">IF(Table1[[#This Row],[is_smoker]]=0,"non-smoker","smoker")</f>
        <v>non-smoker</v>
      </c>
      <c r="F1725" t="s">
        <v>48</v>
      </c>
      <c r="G1725" s="2">
        <v>0.46341463414634099</v>
      </c>
      <c r="H1725" s="2">
        <v>423.360344358703</v>
      </c>
    </row>
    <row r="1726" spans="1:8" x14ac:dyDescent="0.3">
      <c r="A1726" t="s">
        <v>1794</v>
      </c>
      <c r="B1726" t="s">
        <v>37</v>
      </c>
      <c r="C1726">
        <v>56</v>
      </c>
      <c r="D1726" t="s">
        <v>10</v>
      </c>
      <c r="E1726" t="str">
        <f ca="1">IF(Table1[[#This Row],[is_smoker]]=0,"non-smoker","smoker")</f>
        <v>non-smoker</v>
      </c>
      <c r="F1726" t="s">
        <v>11</v>
      </c>
      <c r="G1726" s="2">
        <v>1.1544715447154399</v>
      </c>
      <c r="H1726" s="2">
        <v>975.16962215226897</v>
      </c>
    </row>
    <row r="1727" spans="1:8" x14ac:dyDescent="0.3">
      <c r="A1727" t="s">
        <v>1795</v>
      </c>
      <c r="B1727" t="s">
        <v>113</v>
      </c>
      <c r="C1727">
        <v>52</v>
      </c>
      <c r="D1727" t="s">
        <v>10</v>
      </c>
      <c r="E1727" t="str">
        <f ca="1">IF(Table1[[#This Row],[is_smoker]]=0,"non-smoker","smoker")</f>
        <v>non-smoker</v>
      </c>
      <c r="F1727" t="s">
        <v>19</v>
      </c>
      <c r="G1727" s="2">
        <v>1.11788617886178</v>
      </c>
      <c r="H1727" s="2">
        <v>971.56972308694696</v>
      </c>
    </row>
    <row r="1728" spans="1:8" x14ac:dyDescent="0.3">
      <c r="A1728" t="s">
        <v>1796</v>
      </c>
      <c r="B1728" t="s">
        <v>82</v>
      </c>
      <c r="C1728">
        <v>28</v>
      </c>
      <c r="D1728" t="s">
        <v>17</v>
      </c>
      <c r="E1728" t="str">
        <f ca="1">IF(Table1[[#This Row],[is_smoker]]=0,"non-smoker","smoker")</f>
        <v>non-smoker</v>
      </c>
      <c r="F1728" t="s">
        <v>19</v>
      </c>
      <c r="G1728" s="2">
        <v>1.11788617886178</v>
      </c>
      <c r="H1728" s="2">
        <v>3318.5175561605802</v>
      </c>
    </row>
    <row r="1729" spans="1:8" x14ac:dyDescent="0.3">
      <c r="A1729" t="s">
        <v>1797</v>
      </c>
      <c r="B1729" t="s">
        <v>166</v>
      </c>
      <c r="C1729">
        <v>26</v>
      </c>
      <c r="D1729" t="s">
        <v>17</v>
      </c>
      <c r="E1729" t="str">
        <f ca="1">IF(Table1[[#This Row],[is_smoker]]=0,"non-smoker","smoker")</f>
        <v>non-smoker</v>
      </c>
      <c r="F1729" t="s">
        <v>44</v>
      </c>
      <c r="G1729" s="2">
        <v>1.1341463414634101</v>
      </c>
      <c r="H1729" s="2">
        <v>3415.1151867261401</v>
      </c>
    </row>
    <row r="1730" spans="1:8" x14ac:dyDescent="0.3">
      <c r="A1730" t="s">
        <v>1798</v>
      </c>
      <c r="B1730" t="s">
        <v>175</v>
      </c>
      <c r="C1730">
        <v>45</v>
      </c>
      <c r="D1730" t="s">
        <v>17</v>
      </c>
      <c r="E1730" t="str">
        <f ca="1">IF(Table1[[#This Row],[is_smoker]]=0,"non-smoker","smoker")</f>
        <v>non-smoker</v>
      </c>
      <c r="F1730" t="s">
        <v>61</v>
      </c>
      <c r="G1730" s="2">
        <v>1.61788617886178</v>
      </c>
      <c r="H1730" s="2">
        <v>4254.8261055696903</v>
      </c>
    </row>
    <row r="1731" spans="1:8" x14ac:dyDescent="0.3">
      <c r="A1731" t="s">
        <v>1799</v>
      </c>
      <c r="B1731" t="s">
        <v>13</v>
      </c>
      <c r="C1731">
        <v>59</v>
      </c>
      <c r="D1731" t="s">
        <v>17</v>
      </c>
      <c r="E1731" t="str">
        <f ca="1">IF(Table1[[#This Row],[is_smoker]]=0,"non-smoker","smoker")</f>
        <v>non-smoker</v>
      </c>
      <c r="F1731" t="s">
        <v>44</v>
      </c>
      <c r="G1731" s="2">
        <v>1.1341463414634101</v>
      </c>
      <c r="H1731" s="2">
        <v>2699.4473091660998</v>
      </c>
    </row>
    <row r="1732" spans="1:8" x14ac:dyDescent="0.3">
      <c r="A1732" t="s">
        <v>1800</v>
      </c>
      <c r="B1732" t="s">
        <v>37</v>
      </c>
      <c r="C1732">
        <v>30</v>
      </c>
      <c r="D1732" t="s">
        <v>17</v>
      </c>
      <c r="E1732" t="str">
        <f ca="1">IF(Table1[[#This Row],[is_smoker]]=0,"non-smoker","smoker")</f>
        <v>non-smoker</v>
      </c>
      <c r="F1732" t="s">
        <v>2004</v>
      </c>
      <c r="G1732" s="2">
        <v>1.2073170731707299</v>
      </c>
      <c r="H1732" s="2">
        <v>3533.2807531523899</v>
      </c>
    </row>
    <row r="1733" spans="1:8" x14ac:dyDescent="0.3">
      <c r="A1733" t="s">
        <v>1801</v>
      </c>
      <c r="B1733" t="s">
        <v>13</v>
      </c>
      <c r="C1733">
        <v>63</v>
      </c>
      <c r="D1733" t="s">
        <v>17</v>
      </c>
      <c r="E1733" t="str">
        <f ca="1">IF(Table1[[#This Row],[is_smoker]]=0,"non-smoker","smoker")</f>
        <v>non-smoker</v>
      </c>
      <c r="F1733" t="s">
        <v>11</v>
      </c>
      <c r="G1733" s="2">
        <v>1.1544715447154399</v>
      </c>
      <c r="H1733" s="2">
        <v>2670.6042566689898</v>
      </c>
    </row>
    <row r="1734" spans="1:8" x14ac:dyDescent="0.3">
      <c r="A1734" t="s">
        <v>1802</v>
      </c>
      <c r="B1734" t="s">
        <v>37</v>
      </c>
      <c r="C1734">
        <v>55</v>
      </c>
      <c r="D1734" t="s">
        <v>17</v>
      </c>
      <c r="E1734" t="str">
        <f ca="1">IF(Table1[[#This Row],[is_smoker]]=0,"non-smoker","smoker")</f>
        <v>non-smoker</v>
      </c>
      <c r="F1734" t="s">
        <v>61</v>
      </c>
      <c r="G1734" s="2">
        <v>1.61788617886178</v>
      </c>
      <c r="H1734" s="2">
        <v>3962.17066625182</v>
      </c>
    </row>
    <row r="1735" spans="1:8" x14ac:dyDescent="0.3">
      <c r="A1735" t="s">
        <v>1803</v>
      </c>
      <c r="B1735" t="s">
        <v>43</v>
      </c>
      <c r="C1735">
        <v>33</v>
      </c>
      <c r="D1735" t="s">
        <v>17</v>
      </c>
      <c r="E1735" t="str">
        <f ca="1">IF(Table1[[#This Row],[is_smoker]]=0,"non-smoker","smoker")</f>
        <v>non-smoker</v>
      </c>
      <c r="F1735" t="s">
        <v>14</v>
      </c>
      <c r="G1735" s="2">
        <v>0.66666666666666596</v>
      </c>
      <c r="H1735" s="2">
        <v>1909.7695097185999</v>
      </c>
    </row>
    <row r="1736" spans="1:8" x14ac:dyDescent="0.3">
      <c r="A1736" t="s">
        <v>1804</v>
      </c>
      <c r="B1736" t="s">
        <v>60</v>
      </c>
      <c r="C1736">
        <v>46</v>
      </c>
      <c r="D1736" t="s">
        <v>17</v>
      </c>
      <c r="E1736" t="str">
        <f ca="1">IF(Table1[[#This Row],[is_smoker]]=0,"non-smoker","smoker")</f>
        <v>non-smoker</v>
      </c>
      <c r="F1736" t="s">
        <v>48</v>
      </c>
      <c r="G1736" s="2">
        <v>0.46341463414634099</v>
      </c>
      <c r="H1736" s="2">
        <v>1210.0650869911799</v>
      </c>
    </row>
    <row r="1737" spans="1:8" x14ac:dyDescent="0.3">
      <c r="A1737" t="s">
        <v>1805</v>
      </c>
      <c r="B1737" t="s">
        <v>229</v>
      </c>
      <c r="C1737">
        <v>38</v>
      </c>
      <c r="D1737" t="s">
        <v>10</v>
      </c>
      <c r="E1737" t="str">
        <f ca="1">IF(Table1[[#This Row],[is_smoker]]=0,"non-smoker","smoker")</f>
        <v>non-smoker</v>
      </c>
      <c r="F1737" t="s">
        <v>11</v>
      </c>
      <c r="G1737" s="2">
        <v>1.1544715447154399</v>
      </c>
      <c r="H1737" s="2">
        <v>1108.63276622535</v>
      </c>
    </row>
    <row r="1738" spans="1:8" x14ac:dyDescent="0.3">
      <c r="A1738" t="s">
        <v>1806</v>
      </c>
      <c r="B1738" t="s">
        <v>23</v>
      </c>
      <c r="C1738">
        <v>55</v>
      </c>
      <c r="D1738" t="s">
        <v>17</v>
      </c>
      <c r="E1738" t="str">
        <f ca="1">IF(Table1[[#This Row],[is_smoker]]=0,"non-smoker","smoker")</f>
        <v>non-smoker</v>
      </c>
      <c r="F1738" t="s">
        <v>44</v>
      </c>
      <c r="G1738" s="2">
        <v>1.1341463414634101</v>
      </c>
      <c r="H1738" s="2">
        <v>2777.5015474478801</v>
      </c>
    </row>
    <row r="1739" spans="1:8" x14ac:dyDescent="0.3">
      <c r="A1739" t="s">
        <v>1807</v>
      </c>
      <c r="B1739" t="s">
        <v>13</v>
      </c>
      <c r="C1739">
        <v>29</v>
      </c>
      <c r="D1739" t="s">
        <v>17</v>
      </c>
      <c r="E1739" t="str">
        <f ca="1">IF(Table1[[#This Row],[is_smoker]]=0,"non-smoker","smoker")</f>
        <v>non-smoker</v>
      </c>
      <c r="F1739" t="s">
        <v>56</v>
      </c>
      <c r="G1739" s="2">
        <v>0.19512195121951201</v>
      </c>
      <c r="H1739" s="2">
        <v>575.11911118025</v>
      </c>
    </row>
    <row r="1740" spans="1:8" x14ac:dyDescent="0.3">
      <c r="A1740" t="s">
        <v>1808</v>
      </c>
      <c r="B1740" t="s">
        <v>16</v>
      </c>
      <c r="C1740">
        <v>29</v>
      </c>
      <c r="D1740" t="s">
        <v>10</v>
      </c>
      <c r="E1740" t="str">
        <f ca="1">IF(Table1[[#This Row],[is_smoker]]=0,"non-smoker","smoker")</f>
        <v>non-smoker</v>
      </c>
      <c r="F1740" t="s">
        <v>61</v>
      </c>
      <c r="G1740" s="2">
        <v>1.61788617886178</v>
      </c>
      <c r="H1740" s="2">
        <v>1656.5563570013901</v>
      </c>
    </row>
    <row r="1741" spans="1:8" x14ac:dyDescent="0.3">
      <c r="A1741" t="s">
        <v>1809</v>
      </c>
      <c r="B1741" t="s">
        <v>29</v>
      </c>
      <c r="C1741">
        <v>32</v>
      </c>
      <c r="D1741" t="s">
        <v>17</v>
      </c>
      <c r="E1741" t="str">
        <f ca="1">IF(Table1[[#This Row],[is_smoker]]=0,"non-smoker","smoker")</f>
        <v>non-smoker</v>
      </c>
      <c r="F1741" t="s">
        <v>61</v>
      </c>
      <c r="G1741" s="2">
        <v>1.61788617886178</v>
      </c>
      <c r="H1741" s="2">
        <v>4667.8301310831002</v>
      </c>
    </row>
    <row r="1742" spans="1:8" x14ac:dyDescent="0.3">
      <c r="A1742" t="s">
        <v>1810</v>
      </c>
      <c r="B1742" t="s">
        <v>229</v>
      </c>
      <c r="C1742">
        <v>26</v>
      </c>
      <c r="D1742" t="s">
        <v>17</v>
      </c>
      <c r="E1742" t="str">
        <f ca="1">IF(Table1[[#This Row],[is_smoker]]=0,"non-smoker","smoker")</f>
        <v>non-smoker</v>
      </c>
      <c r="F1742" t="s">
        <v>48</v>
      </c>
      <c r="G1742" s="2">
        <v>0.46341463414634099</v>
      </c>
      <c r="H1742" s="2">
        <v>1395.4234096300299</v>
      </c>
    </row>
    <row r="1743" spans="1:8" x14ac:dyDescent="0.3">
      <c r="A1743" t="s">
        <v>1811</v>
      </c>
      <c r="B1743" t="s">
        <v>29</v>
      </c>
      <c r="C1743">
        <v>63</v>
      </c>
      <c r="D1743" t="s">
        <v>17</v>
      </c>
      <c r="E1743" t="str">
        <f ca="1">IF(Table1[[#This Row],[is_smoker]]=0,"non-smoker","smoker")</f>
        <v>non-smoker</v>
      </c>
      <c r="F1743" t="s">
        <v>27</v>
      </c>
      <c r="G1743" s="2">
        <v>0.53252032520325199</v>
      </c>
      <c r="H1743" s="2">
        <v>1231.8632310691401</v>
      </c>
    </row>
    <row r="1744" spans="1:8" x14ac:dyDescent="0.3">
      <c r="A1744" t="s">
        <v>1812</v>
      </c>
      <c r="B1744" t="s">
        <v>175</v>
      </c>
      <c r="C1744">
        <v>23</v>
      </c>
      <c r="D1744" t="s">
        <v>17</v>
      </c>
      <c r="E1744" t="str">
        <f ca="1">IF(Table1[[#This Row],[is_smoker]]=0,"non-smoker","smoker")</f>
        <v>non-smoker</v>
      </c>
      <c r="F1744" t="s">
        <v>19</v>
      </c>
      <c r="G1744" s="2">
        <v>1.11788617886178</v>
      </c>
      <c r="H1744" s="2">
        <v>3438.8912173169701</v>
      </c>
    </row>
    <row r="1745" spans="1:8" x14ac:dyDescent="0.3">
      <c r="A1745" t="s">
        <v>1813</v>
      </c>
      <c r="B1745" t="s">
        <v>50</v>
      </c>
      <c r="C1745">
        <v>22</v>
      </c>
      <c r="D1745" t="s">
        <v>10</v>
      </c>
      <c r="E1745" t="str">
        <f ca="1">IF(Table1[[#This Row],[is_smoker]]=0,"non-smoker","smoker")</f>
        <v>non-smoker</v>
      </c>
      <c r="F1745" t="s">
        <v>19</v>
      </c>
      <c r="G1745" s="2">
        <v>1.11788617886178</v>
      </c>
      <c r="H1745" s="2">
        <v>1203.1502979690799</v>
      </c>
    </row>
    <row r="1746" spans="1:8" x14ac:dyDescent="0.3">
      <c r="A1746" t="s">
        <v>1814</v>
      </c>
      <c r="B1746" t="s">
        <v>113</v>
      </c>
      <c r="C1746">
        <v>21</v>
      </c>
      <c r="D1746" t="s">
        <v>17</v>
      </c>
      <c r="E1746" t="str">
        <f ca="1">IF(Table1[[#This Row],[is_smoker]]=0,"non-smoker","smoker")</f>
        <v>non-smoker</v>
      </c>
      <c r="F1746" t="s">
        <v>56</v>
      </c>
      <c r="G1746" s="2">
        <v>0.19512195121951201</v>
      </c>
      <c r="H1746" s="2">
        <v>608.85897032157402</v>
      </c>
    </row>
    <row r="1747" spans="1:8" x14ac:dyDescent="0.3">
      <c r="A1747" t="s">
        <v>1815</v>
      </c>
      <c r="B1747" t="s">
        <v>254</v>
      </c>
      <c r="C1747">
        <v>61</v>
      </c>
      <c r="D1747" t="s">
        <v>10</v>
      </c>
      <c r="E1747" t="str">
        <f ca="1">IF(Table1[[#This Row],[is_smoker]]=0,"non-smoker","smoker")</f>
        <v>non-smoker</v>
      </c>
      <c r="F1747" t="s">
        <v>2004</v>
      </c>
      <c r="G1747" s="2">
        <v>1.2073170731707299</v>
      </c>
      <c r="H1747" s="2">
        <v>984.11070228359199</v>
      </c>
    </row>
    <row r="1748" spans="1:8" x14ac:dyDescent="0.3">
      <c r="A1748" t="s">
        <v>1816</v>
      </c>
      <c r="B1748" t="s">
        <v>192</v>
      </c>
      <c r="C1748">
        <v>57</v>
      </c>
      <c r="D1748" t="s">
        <v>17</v>
      </c>
      <c r="E1748" t="str">
        <f ca="1">IF(Table1[[#This Row],[is_smoker]]=0,"non-smoker","smoker")</f>
        <v>non-smoker</v>
      </c>
      <c r="F1748" t="s">
        <v>2004</v>
      </c>
      <c r="G1748" s="2">
        <v>1.2073170731707299</v>
      </c>
      <c r="H1748" s="2">
        <v>2914.85414546422</v>
      </c>
    </row>
    <row r="1749" spans="1:8" x14ac:dyDescent="0.3">
      <c r="A1749" t="s">
        <v>1817</v>
      </c>
      <c r="B1749" t="s">
        <v>243</v>
      </c>
      <c r="C1749">
        <v>65</v>
      </c>
      <c r="D1749" t="s">
        <v>10</v>
      </c>
      <c r="E1749" t="str">
        <f ca="1">IF(Table1[[#This Row],[is_smoker]]=0,"non-smoker","smoker")</f>
        <v>non-smoker</v>
      </c>
      <c r="F1749" t="s">
        <v>14</v>
      </c>
      <c r="G1749" s="2">
        <v>0.66666666666666596</v>
      </c>
      <c r="H1749" s="2">
        <v>528.14345091533198</v>
      </c>
    </row>
    <row r="1750" spans="1:8" x14ac:dyDescent="0.3">
      <c r="A1750" t="s">
        <v>1818</v>
      </c>
      <c r="B1750" t="s">
        <v>113</v>
      </c>
      <c r="C1750">
        <v>39</v>
      </c>
      <c r="D1750" t="s">
        <v>10</v>
      </c>
      <c r="E1750" t="str">
        <f ca="1">IF(Table1[[#This Row],[is_smoker]]=0,"non-smoker","smoker")</f>
        <v>non-smoker</v>
      </c>
      <c r="F1750" t="s">
        <v>11</v>
      </c>
      <c r="G1750" s="2">
        <v>1.1544715447154399</v>
      </c>
      <c r="H1750" s="2">
        <v>1100.7605246877099</v>
      </c>
    </row>
    <row r="1751" spans="1:8" x14ac:dyDescent="0.3">
      <c r="A1751" t="s">
        <v>1819</v>
      </c>
      <c r="B1751" t="s">
        <v>13</v>
      </c>
      <c r="C1751">
        <v>35</v>
      </c>
      <c r="D1751" t="s">
        <v>17</v>
      </c>
      <c r="E1751" t="str">
        <f ca="1">IF(Table1[[#This Row],[is_smoker]]=0,"non-smoker","smoker")</f>
        <v>non-smoker</v>
      </c>
      <c r="F1751" t="s">
        <v>24</v>
      </c>
      <c r="G1751" s="2">
        <v>1.70325203252032</v>
      </c>
      <c r="H1751" s="2">
        <v>4810.1808269624098</v>
      </c>
    </row>
    <row r="1752" spans="1:8" x14ac:dyDescent="0.3">
      <c r="A1752" t="s">
        <v>1820</v>
      </c>
      <c r="B1752" t="s">
        <v>85</v>
      </c>
      <c r="C1752">
        <v>44</v>
      </c>
      <c r="D1752" t="s">
        <v>10</v>
      </c>
      <c r="E1752" t="str">
        <f ca="1">IF(Table1[[#This Row],[is_smoker]]=0,"non-smoker","smoker")</f>
        <v>non-smoker</v>
      </c>
      <c r="F1752" t="s">
        <v>27</v>
      </c>
      <c r="G1752" s="2">
        <v>0.53252032520325199</v>
      </c>
      <c r="H1752" s="2">
        <v>489.97224963730099</v>
      </c>
    </row>
    <row r="1753" spans="1:8" x14ac:dyDescent="0.3">
      <c r="A1753" t="s">
        <v>1821</v>
      </c>
      <c r="B1753" t="s">
        <v>50</v>
      </c>
      <c r="C1753">
        <v>28</v>
      </c>
      <c r="D1753" t="s">
        <v>17</v>
      </c>
      <c r="E1753" t="str">
        <f ca="1">IF(Table1[[#This Row],[is_smoker]]=0,"non-smoker","smoker")</f>
        <v>non-smoker</v>
      </c>
      <c r="F1753" t="s">
        <v>44</v>
      </c>
      <c r="G1753" s="2">
        <v>1.1341463414634101</v>
      </c>
      <c r="H1753" s="2">
        <v>3366.7869024319998</v>
      </c>
    </row>
    <row r="1754" spans="1:8" x14ac:dyDescent="0.3">
      <c r="A1754" t="s">
        <v>1822</v>
      </c>
      <c r="B1754" t="s">
        <v>13</v>
      </c>
      <c r="C1754">
        <v>40</v>
      </c>
      <c r="D1754" t="s">
        <v>10</v>
      </c>
      <c r="E1754" t="str">
        <f ca="1">IF(Table1[[#This Row],[is_smoker]]=0,"non-smoker","smoker")</f>
        <v>non-smoker</v>
      </c>
      <c r="F1754" t="s">
        <v>24</v>
      </c>
      <c r="G1754" s="2">
        <v>1.70325203252032</v>
      </c>
      <c r="H1754" s="2">
        <v>1612.4775091353899</v>
      </c>
    </row>
    <row r="1755" spans="1:8" x14ac:dyDescent="0.3">
      <c r="A1755" t="s">
        <v>1823</v>
      </c>
      <c r="B1755" t="s">
        <v>29</v>
      </c>
      <c r="C1755">
        <v>26</v>
      </c>
      <c r="D1755" t="s">
        <v>17</v>
      </c>
      <c r="E1755" t="str">
        <f ca="1">IF(Table1[[#This Row],[is_smoker]]=0,"non-smoker","smoker")</f>
        <v>non-smoker</v>
      </c>
      <c r="F1755" t="s">
        <v>24</v>
      </c>
      <c r="G1755" s="2">
        <v>1.70325203252032</v>
      </c>
      <c r="H1755" s="2">
        <v>5128.7930582016197</v>
      </c>
    </row>
    <row r="1756" spans="1:8" x14ac:dyDescent="0.3">
      <c r="A1756" t="s">
        <v>1824</v>
      </c>
      <c r="B1756" t="s">
        <v>43</v>
      </c>
      <c r="C1756">
        <v>47</v>
      </c>
      <c r="D1756" t="s">
        <v>17</v>
      </c>
      <c r="E1756" t="str">
        <f ca="1">IF(Table1[[#This Row],[is_smoker]]=0,"non-smoker","smoker")</f>
        <v>non-smoker</v>
      </c>
      <c r="F1756" t="s">
        <v>61</v>
      </c>
      <c r="G1756" s="2">
        <v>1.61788617886178</v>
      </c>
      <c r="H1756" s="2">
        <v>4194.6148288164704</v>
      </c>
    </row>
    <row r="1757" spans="1:8" x14ac:dyDescent="0.3">
      <c r="A1757" t="s">
        <v>1825</v>
      </c>
      <c r="B1757" t="s">
        <v>50</v>
      </c>
      <c r="C1757">
        <v>63</v>
      </c>
      <c r="D1757" t="s">
        <v>17</v>
      </c>
      <c r="E1757" t="str">
        <f ca="1">IF(Table1[[#This Row],[is_smoker]]=0,"non-smoker","smoker")</f>
        <v>non-smoker</v>
      </c>
      <c r="F1757" t="s">
        <v>56</v>
      </c>
      <c r="G1757" s="2">
        <v>0.19512195121951201</v>
      </c>
      <c r="H1757" s="2">
        <v>451.36973352152</v>
      </c>
    </row>
    <row r="1758" spans="1:8" x14ac:dyDescent="0.3">
      <c r="A1758" t="s">
        <v>1826</v>
      </c>
      <c r="B1758" t="s">
        <v>170</v>
      </c>
      <c r="C1758">
        <v>60</v>
      </c>
      <c r="D1758" t="s">
        <v>10</v>
      </c>
      <c r="E1758" t="str">
        <f ca="1">IF(Table1[[#This Row],[is_smoker]]=0,"non-smoker","smoker")</f>
        <v>non-smoker</v>
      </c>
      <c r="F1758" t="s">
        <v>19</v>
      </c>
      <c r="G1758" s="2">
        <v>1.11788617886178</v>
      </c>
      <c r="H1758" s="2">
        <v>917.73028374089404</v>
      </c>
    </row>
    <row r="1759" spans="1:8" x14ac:dyDescent="0.3">
      <c r="A1759" t="s">
        <v>1827</v>
      </c>
      <c r="B1759" t="s">
        <v>23</v>
      </c>
      <c r="C1759">
        <v>60</v>
      </c>
      <c r="D1759" t="s">
        <v>10</v>
      </c>
      <c r="E1759" t="str">
        <f ca="1">IF(Table1[[#This Row],[is_smoker]]=0,"non-smoker","smoker")</f>
        <v>non-smoker</v>
      </c>
      <c r="F1759" t="s">
        <v>14</v>
      </c>
      <c r="G1759" s="2">
        <v>0.66666666666666596</v>
      </c>
      <c r="H1759" s="2">
        <v>547.30096921275106</v>
      </c>
    </row>
    <row r="1760" spans="1:8" x14ac:dyDescent="0.3">
      <c r="A1760" t="s">
        <v>1828</v>
      </c>
      <c r="B1760" t="s">
        <v>13</v>
      </c>
      <c r="C1760">
        <v>37</v>
      </c>
      <c r="D1760" t="s">
        <v>17</v>
      </c>
      <c r="E1760" t="str">
        <f ca="1">IF(Table1[[#This Row],[is_smoker]]=0,"non-smoker","smoker")</f>
        <v>non-smoker</v>
      </c>
      <c r="F1760" t="s">
        <v>2004</v>
      </c>
      <c r="G1760" s="2">
        <v>1.2073170731707299</v>
      </c>
      <c r="H1760" s="2">
        <v>3361.3528346244698</v>
      </c>
    </row>
    <row r="1761" spans="1:8" x14ac:dyDescent="0.3">
      <c r="A1761" t="s">
        <v>1829</v>
      </c>
      <c r="B1761" t="s">
        <v>35</v>
      </c>
      <c r="C1761">
        <v>26</v>
      </c>
      <c r="D1761" t="s">
        <v>17</v>
      </c>
      <c r="E1761" t="str">
        <f ca="1">IF(Table1[[#This Row],[is_smoker]]=0,"non-smoker","smoker")</f>
        <v>non-smoker</v>
      </c>
      <c r="F1761" t="s">
        <v>56</v>
      </c>
      <c r="G1761" s="2">
        <v>0.19512195121951201</v>
      </c>
      <c r="H1761" s="2">
        <v>587.54669879159405</v>
      </c>
    </row>
    <row r="1762" spans="1:8" x14ac:dyDescent="0.3">
      <c r="A1762" t="s">
        <v>1830</v>
      </c>
      <c r="B1762" t="s">
        <v>16</v>
      </c>
      <c r="C1762">
        <v>29</v>
      </c>
      <c r="D1762" t="s">
        <v>10</v>
      </c>
      <c r="E1762" t="str">
        <f ca="1">IF(Table1[[#This Row],[is_smoker]]=0,"non-smoker","smoker")</f>
        <v>non-smoker</v>
      </c>
      <c r="F1762" t="s">
        <v>61</v>
      </c>
      <c r="G1762" s="2">
        <v>1.61788617886178</v>
      </c>
      <c r="H1762" s="2">
        <v>1656.5563570013901</v>
      </c>
    </row>
    <row r="1763" spans="1:8" x14ac:dyDescent="0.3">
      <c r="A1763" t="s">
        <v>1831</v>
      </c>
      <c r="B1763" t="s">
        <v>92</v>
      </c>
      <c r="C1763">
        <v>23</v>
      </c>
      <c r="D1763" t="s">
        <v>17</v>
      </c>
      <c r="E1763" t="str">
        <f ca="1">IF(Table1[[#This Row],[is_smoker]]=0,"non-smoker","smoker")</f>
        <v>non-smoker</v>
      </c>
      <c r="F1763" t="s">
        <v>44</v>
      </c>
      <c r="G1763" s="2">
        <v>1.1341463414634101</v>
      </c>
      <c r="H1763" s="2">
        <v>3488.9114532052199</v>
      </c>
    </row>
    <row r="1764" spans="1:8" x14ac:dyDescent="0.3">
      <c r="A1764" t="s">
        <v>1832</v>
      </c>
      <c r="B1764" t="s">
        <v>502</v>
      </c>
      <c r="C1764">
        <v>26</v>
      </c>
      <c r="D1764" t="s">
        <v>17</v>
      </c>
      <c r="E1764" t="str">
        <f ca="1">IF(Table1[[#This Row],[is_smoker]]=0,"non-smoker","smoker")</f>
        <v>non-smoker</v>
      </c>
      <c r="F1764" t="s">
        <v>14</v>
      </c>
      <c r="G1764" s="2">
        <v>0.66666666666666596</v>
      </c>
      <c r="H1764" s="2">
        <v>2007.4512208712799</v>
      </c>
    </row>
    <row r="1765" spans="1:8" x14ac:dyDescent="0.3">
      <c r="A1765" t="s">
        <v>1833</v>
      </c>
      <c r="B1765" t="s">
        <v>31</v>
      </c>
      <c r="C1765">
        <v>24</v>
      </c>
      <c r="D1765" t="s">
        <v>10</v>
      </c>
      <c r="E1765" t="str">
        <f ca="1">IF(Table1[[#This Row],[is_smoker]]=0,"non-smoker","smoker")</f>
        <v>non-smoker</v>
      </c>
      <c r="F1765" t="s">
        <v>61</v>
      </c>
      <c r="G1765" s="2">
        <v>1.61788617886178</v>
      </c>
      <c r="H1765" s="2">
        <v>1716.6451617853199</v>
      </c>
    </row>
    <row r="1766" spans="1:8" x14ac:dyDescent="0.3">
      <c r="A1766" t="s">
        <v>1834</v>
      </c>
      <c r="B1766" t="s">
        <v>178</v>
      </c>
      <c r="C1766">
        <v>47</v>
      </c>
      <c r="D1766" t="s">
        <v>10</v>
      </c>
      <c r="E1766" t="str">
        <f ca="1">IF(Table1[[#This Row],[is_smoker]]=0,"non-smoker","smoker")</f>
        <v>non-smoker</v>
      </c>
      <c r="F1766" t="s">
        <v>19</v>
      </c>
      <c r="G1766" s="2">
        <v>1.11788617886178</v>
      </c>
      <c r="H1766" s="2">
        <v>1006.81178604351</v>
      </c>
    </row>
    <row r="1767" spans="1:8" x14ac:dyDescent="0.3">
      <c r="A1767" t="s">
        <v>1835</v>
      </c>
      <c r="B1767" t="s">
        <v>272</v>
      </c>
      <c r="C1767">
        <v>47</v>
      </c>
      <c r="D1767" t="s">
        <v>17</v>
      </c>
      <c r="E1767" t="str">
        <f ca="1">IF(Table1[[#This Row],[is_smoker]]=0,"non-smoker","smoker")</f>
        <v>non-smoker</v>
      </c>
      <c r="F1767" t="s">
        <v>19</v>
      </c>
      <c r="G1767" s="2">
        <v>1.11788617886178</v>
      </c>
      <c r="H1767" s="2">
        <v>2898.2891405138898</v>
      </c>
    </row>
    <row r="1768" spans="1:8" x14ac:dyDescent="0.3">
      <c r="A1768" t="s">
        <v>1836</v>
      </c>
      <c r="B1768" t="s">
        <v>35</v>
      </c>
      <c r="C1768">
        <v>50</v>
      </c>
      <c r="D1768" t="s">
        <v>10</v>
      </c>
      <c r="E1768" t="str">
        <f ca="1">IF(Table1[[#This Row],[is_smoker]]=0,"non-smoker","smoker")</f>
        <v>non-smoker</v>
      </c>
      <c r="F1768" t="s">
        <v>19</v>
      </c>
      <c r="G1768" s="2">
        <v>1.11788617886178</v>
      </c>
      <c r="H1768" s="2">
        <v>985.51604613905397</v>
      </c>
    </row>
    <row r="1769" spans="1:8" x14ac:dyDescent="0.3">
      <c r="A1769" t="s">
        <v>1837</v>
      </c>
      <c r="B1769" t="s">
        <v>13</v>
      </c>
      <c r="C1769">
        <v>41</v>
      </c>
      <c r="D1769" t="s">
        <v>17</v>
      </c>
      <c r="E1769" t="str">
        <f ca="1">IF(Table1[[#This Row],[is_smoker]]=0,"non-smoker","smoker")</f>
        <v>non-smoker</v>
      </c>
      <c r="F1769" t="s">
        <v>56</v>
      </c>
      <c r="G1769" s="2">
        <v>0.19512195121951201</v>
      </c>
      <c r="H1769" s="2">
        <v>527.982387140024</v>
      </c>
    </row>
    <row r="1770" spans="1:8" x14ac:dyDescent="0.3">
      <c r="A1770" t="s">
        <v>1838</v>
      </c>
      <c r="B1770" t="s">
        <v>82</v>
      </c>
      <c r="C1770">
        <v>21</v>
      </c>
      <c r="D1770" t="s">
        <v>10</v>
      </c>
      <c r="E1770" t="str">
        <f ca="1">IF(Table1[[#This Row],[is_smoker]]=0,"non-smoker","smoker")</f>
        <v>non-smoker</v>
      </c>
      <c r="F1770" t="s">
        <v>56</v>
      </c>
      <c r="G1770" s="2">
        <v>0.19512195121951201</v>
      </c>
      <c r="H1770" s="2">
        <v>211.506291345861</v>
      </c>
    </row>
    <row r="1771" spans="1:8" x14ac:dyDescent="0.3">
      <c r="A1771" t="s">
        <v>1839</v>
      </c>
      <c r="B1771" t="s">
        <v>60</v>
      </c>
      <c r="C1771">
        <v>49</v>
      </c>
      <c r="D1771" t="s">
        <v>10</v>
      </c>
      <c r="E1771" t="str">
        <f ca="1">IF(Table1[[#This Row],[is_smoker]]=0,"non-smoker","smoker")</f>
        <v>non-smoker</v>
      </c>
      <c r="F1771" t="s">
        <v>2004</v>
      </c>
      <c r="G1771" s="2">
        <v>1.2073170731707299</v>
      </c>
      <c r="H1771" s="2">
        <v>1071.9692288716601</v>
      </c>
    </row>
    <row r="1772" spans="1:8" x14ac:dyDescent="0.3">
      <c r="A1772" t="s">
        <v>1840</v>
      </c>
      <c r="B1772" t="s">
        <v>60</v>
      </c>
      <c r="C1772">
        <v>34</v>
      </c>
      <c r="D1772" t="s">
        <v>17</v>
      </c>
      <c r="E1772" t="str">
        <f ca="1">IF(Table1[[#This Row],[is_smoker]]=0,"non-smoker","smoker")</f>
        <v>non-smoker</v>
      </c>
      <c r="F1772" t="s">
        <v>2004</v>
      </c>
      <c r="G1772" s="2">
        <v>1.2073170731707299</v>
      </c>
      <c r="H1772" s="2">
        <v>3433.9873655118299</v>
      </c>
    </row>
    <row r="1773" spans="1:8" x14ac:dyDescent="0.3">
      <c r="A1773" t="s">
        <v>1841</v>
      </c>
      <c r="B1773" t="s">
        <v>13</v>
      </c>
      <c r="C1773">
        <v>28</v>
      </c>
      <c r="D1773" t="s">
        <v>17</v>
      </c>
      <c r="E1773" t="str">
        <f ca="1">IF(Table1[[#This Row],[is_smoker]]=0,"non-smoker","smoker")</f>
        <v>non-smoker</v>
      </c>
      <c r="F1773" t="s">
        <v>44</v>
      </c>
      <c r="G1773" s="2">
        <v>1.1341463414634101</v>
      </c>
      <c r="H1773" s="2">
        <v>3366.7869024319998</v>
      </c>
    </row>
    <row r="1774" spans="1:8" x14ac:dyDescent="0.3">
      <c r="A1774" t="s">
        <v>1842</v>
      </c>
      <c r="B1774" t="s">
        <v>170</v>
      </c>
      <c r="C1774">
        <v>51</v>
      </c>
      <c r="D1774" t="s">
        <v>10</v>
      </c>
      <c r="E1774" t="str">
        <f ca="1">IF(Table1[[#This Row],[is_smoker]]=0,"non-smoker","smoker")</f>
        <v>non-smoker</v>
      </c>
      <c r="F1774" t="s">
        <v>14</v>
      </c>
      <c r="G1774" s="2">
        <v>0.66666666666666596</v>
      </c>
      <c r="H1774" s="2">
        <v>583.55257580160003</v>
      </c>
    </row>
    <row r="1775" spans="1:8" x14ac:dyDescent="0.3">
      <c r="A1775" t="s">
        <v>1843</v>
      </c>
      <c r="B1775" t="s">
        <v>29</v>
      </c>
      <c r="C1775">
        <v>57</v>
      </c>
      <c r="D1775" t="s">
        <v>10</v>
      </c>
      <c r="E1775" t="str">
        <f ca="1">IF(Table1[[#This Row],[is_smoker]]=0,"non-smoker","smoker")</f>
        <v>non-smoker</v>
      </c>
      <c r="F1775" t="s">
        <v>48</v>
      </c>
      <c r="G1775" s="2">
        <v>0.46341463414634099</v>
      </c>
      <c r="H1775" s="2">
        <v>388.66175873761699</v>
      </c>
    </row>
    <row r="1776" spans="1:8" x14ac:dyDescent="0.3">
      <c r="A1776" t="s">
        <v>1844</v>
      </c>
      <c r="B1776" t="s">
        <v>178</v>
      </c>
      <c r="C1776">
        <v>62</v>
      </c>
      <c r="D1776" t="s">
        <v>10</v>
      </c>
      <c r="E1776" t="str">
        <f ca="1">IF(Table1[[#This Row],[is_smoker]]=0,"non-smoker","smoker")</f>
        <v>non-smoker</v>
      </c>
      <c r="F1776" t="s">
        <v>48</v>
      </c>
      <c r="G1776" s="2">
        <v>0.46341463414634099</v>
      </c>
      <c r="H1776" s="2">
        <v>375.05718799250502</v>
      </c>
    </row>
    <row r="1777" spans="1:8" x14ac:dyDescent="0.3">
      <c r="A1777" t="s">
        <v>1845</v>
      </c>
      <c r="B1777" t="s">
        <v>201</v>
      </c>
      <c r="C1777">
        <v>34</v>
      </c>
      <c r="D1777" t="s">
        <v>17</v>
      </c>
      <c r="E1777" t="str">
        <f ca="1">IF(Table1[[#This Row],[is_smoker]]=0,"non-smoker","smoker")</f>
        <v>non-smoker</v>
      </c>
      <c r="F1777" t="s">
        <v>61</v>
      </c>
      <c r="G1777" s="2">
        <v>1.61788617886178</v>
      </c>
      <c r="H1777" s="2">
        <v>4601.77431472629</v>
      </c>
    </row>
    <row r="1778" spans="1:8" x14ac:dyDescent="0.3">
      <c r="A1778" t="s">
        <v>1846</v>
      </c>
      <c r="B1778" t="s">
        <v>60</v>
      </c>
      <c r="C1778">
        <v>40</v>
      </c>
      <c r="D1778" t="s">
        <v>17</v>
      </c>
      <c r="E1778" t="str">
        <f ca="1">IF(Table1[[#This Row],[is_smoker]]=0,"non-smoker","smoker")</f>
        <v>non-smoker</v>
      </c>
      <c r="F1778" t="s">
        <v>19</v>
      </c>
      <c r="G1778" s="2">
        <v>1.11788617886178</v>
      </c>
      <c r="H1778" s="2">
        <v>3046.5320783238699</v>
      </c>
    </row>
    <row r="1779" spans="1:8" x14ac:dyDescent="0.3">
      <c r="A1779" t="s">
        <v>1847</v>
      </c>
      <c r="B1779" t="s">
        <v>29</v>
      </c>
      <c r="C1779">
        <v>32</v>
      </c>
      <c r="D1779" t="s">
        <v>10</v>
      </c>
      <c r="E1779" t="str">
        <f ca="1">IF(Table1[[#This Row],[is_smoker]]=0,"non-smoker","smoker")</f>
        <v>non-smoker</v>
      </c>
      <c r="F1779" t="s">
        <v>14</v>
      </c>
      <c r="G1779" s="2">
        <v>0.66666666666666596</v>
      </c>
      <c r="H1779" s="2">
        <v>668.16296575467595</v>
      </c>
    </row>
    <row r="1780" spans="1:8" x14ac:dyDescent="0.3">
      <c r="A1780" t="s">
        <v>1848</v>
      </c>
      <c r="B1780" t="s">
        <v>106</v>
      </c>
      <c r="C1780">
        <v>50</v>
      </c>
      <c r="D1780" t="s">
        <v>17</v>
      </c>
      <c r="E1780" t="str">
        <f ca="1">IF(Table1[[#This Row],[is_smoker]]=0,"non-smoker","smoker")</f>
        <v>non-smoker</v>
      </c>
      <c r="F1780" t="s">
        <v>24</v>
      </c>
      <c r="G1780" s="2">
        <v>1.70325203252032</v>
      </c>
      <c r="H1780" s="2">
        <v>4322.5342952622595</v>
      </c>
    </row>
    <row r="1781" spans="1:8" x14ac:dyDescent="0.3">
      <c r="A1781" t="s">
        <v>1849</v>
      </c>
      <c r="B1781" t="s">
        <v>16</v>
      </c>
      <c r="C1781">
        <v>52</v>
      </c>
      <c r="D1781" t="s">
        <v>17</v>
      </c>
      <c r="E1781" t="str">
        <f ca="1">IF(Table1[[#This Row],[is_smoker]]=0,"non-smoker","smoker")</f>
        <v>non-smoker</v>
      </c>
      <c r="F1781" t="s">
        <v>56</v>
      </c>
      <c r="G1781" s="2">
        <v>0.19512195121951201</v>
      </c>
      <c r="H1781" s="2">
        <v>488.17544939032803</v>
      </c>
    </row>
    <row r="1782" spans="1:8" x14ac:dyDescent="0.3">
      <c r="A1782" t="s">
        <v>1850</v>
      </c>
      <c r="B1782" t="s">
        <v>175</v>
      </c>
      <c r="C1782">
        <v>25</v>
      </c>
      <c r="D1782" t="s">
        <v>17</v>
      </c>
      <c r="E1782" t="str">
        <f ca="1">IF(Table1[[#This Row],[is_smoker]]=0,"non-smoker","smoker")</f>
        <v>non-smoker</v>
      </c>
      <c r="F1782" t="s">
        <v>11</v>
      </c>
      <c r="G1782" s="2">
        <v>1.1544715447154399</v>
      </c>
      <c r="H1782" s="2">
        <v>3501.1793378674101</v>
      </c>
    </row>
    <row r="1783" spans="1:8" x14ac:dyDescent="0.3">
      <c r="A1783" t="s">
        <v>1851</v>
      </c>
      <c r="B1783" t="s">
        <v>82</v>
      </c>
      <c r="C1783">
        <v>25</v>
      </c>
      <c r="D1783" t="s">
        <v>10</v>
      </c>
      <c r="E1783" t="str">
        <f ca="1">IF(Table1[[#This Row],[is_smoker]]=0,"non-smoker","smoker")</f>
        <v>non-smoker</v>
      </c>
      <c r="F1783" t="s">
        <v>27</v>
      </c>
      <c r="G1783" s="2">
        <v>0.53252032520325199</v>
      </c>
      <c r="H1783" s="2">
        <v>561.01425138162006</v>
      </c>
    </row>
    <row r="1784" spans="1:8" x14ac:dyDescent="0.3">
      <c r="A1784" t="s">
        <v>1852</v>
      </c>
      <c r="B1784" t="s">
        <v>170</v>
      </c>
      <c r="C1784">
        <v>37</v>
      </c>
      <c r="D1784" t="s">
        <v>10</v>
      </c>
      <c r="E1784" t="str">
        <f ca="1">IF(Table1[[#This Row],[is_smoker]]=0,"non-smoker","smoker")</f>
        <v>non-smoker</v>
      </c>
      <c r="F1784" t="s">
        <v>44</v>
      </c>
      <c r="G1784" s="2">
        <v>1.1341463414634101</v>
      </c>
      <c r="H1784" s="2">
        <v>1096.9035376972199</v>
      </c>
    </row>
    <row r="1785" spans="1:8" x14ac:dyDescent="0.3">
      <c r="A1785" t="s">
        <v>1853</v>
      </c>
      <c r="B1785" t="s">
        <v>16</v>
      </c>
      <c r="C1785">
        <v>50</v>
      </c>
      <c r="D1785" t="s">
        <v>17</v>
      </c>
      <c r="E1785" t="str">
        <f ca="1">IF(Table1[[#This Row],[is_smoker]]=0,"non-smoker","smoker")</f>
        <v>non-smoker</v>
      </c>
      <c r="F1785" t="s">
        <v>19</v>
      </c>
      <c r="G1785" s="2">
        <v>1.11788617886178</v>
      </c>
      <c r="H1785" s="2">
        <v>2836.9855159835802</v>
      </c>
    </row>
    <row r="1786" spans="1:8" x14ac:dyDescent="0.3">
      <c r="A1786" t="s">
        <v>1854</v>
      </c>
      <c r="B1786" t="s">
        <v>13</v>
      </c>
      <c r="C1786">
        <v>40</v>
      </c>
      <c r="D1786" t="s">
        <v>17</v>
      </c>
      <c r="E1786" t="str">
        <f ca="1">IF(Table1[[#This Row],[is_smoker]]=0,"non-smoker","smoker")</f>
        <v>non-smoker</v>
      </c>
      <c r="F1786" t="s">
        <v>19</v>
      </c>
      <c r="G1786" s="2">
        <v>1.11788617886178</v>
      </c>
      <c r="H1786" s="2">
        <v>3046.5320783238699</v>
      </c>
    </row>
    <row r="1787" spans="1:8" x14ac:dyDescent="0.3">
      <c r="A1787" t="s">
        <v>1855</v>
      </c>
      <c r="B1787" t="s">
        <v>35</v>
      </c>
      <c r="C1787">
        <v>58</v>
      </c>
      <c r="D1787" t="s">
        <v>17</v>
      </c>
      <c r="E1787" t="str">
        <f ca="1">IF(Table1[[#This Row],[is_smoker]]=0,"non-smoker","smoker")</f>
        <v>non-smoker</v>
      </c>
      <c r="F1787" t="s">
        <v>19</v>
      </c>
      <c r="G1787" s="2">
        <v>1.11788617886178</v>
      </c>
      <c r="H1787" s="2">
        <v>2679.7742464432699</v>
      </c>
    </row>
    <row r="1788" spans="1:8" x14ac:dyDescent="0.3">
      <c r="A1788" t="s">
        <v>1856</v>
      </c>
      <c r="B1788" t="s">
        <v>60</v>
      </c>
      <c r="C1788">
        <v>51</v>
      </c>
      <c r="D1788" t="s">
        <v>10</v>
      </c>
      <c r="E1788" t="str">
        <f ca="1">IF(Table1[[#This Row],[is_smoker]]=0,"non-smoker","smoker")</f>
        <v>non-smoker</v>
      </c>
      <c r="F1788" t="s">
        <v>56</v>
      </c>
      <c r="G1788" s="2">
        <v>0.19512195121951201</v>
      </c>
      <c r="H1788" s="2">
        <v>170.79587584436999</v>
      </c>
    </row>
    <row r="1789" spans="1:8" x14ac:dyDescent="0.3">
      <c r="A1789" t="s">
        <v>1857</v>
      </c>
      <c r="B1789" t="s">
        <v>31</v>
      </c>
      <c r="C1789">
        <v>40</v>
      </c>
      <c r="D1789" t="s">
        <v>10</v>
      </c>
      <c r="E1789" t="str">
        <f ca="1">IF(Table1[[#This Row],[is_smoker]]=0,"non-smoker","smoker")</f>
        <v>non-smoker</v>
      </c>
      <c r="F1789" t="s">
        <v>56</v>
      </c>
      <c r="G1789" s="2">
        <v>0.19512195121951201</v>
      </c>
      <c r="H1789" s="2">
        <v>184.722960473744</v>
      </c>
    </row>
    <row r="1790" spans="1:8" x14ac:dyDescent="0.3">
      <c r="A1790" t="s">
        <v>1858</v>
      </c>
      <c r="B1790" t="s">
        <v>16</v>
      </c>
      <c r="C1790">
        <v>44</v>
      </c>
      <c r="D1790" t="s">
        <v>17</v>
      </c>
      <c r="E1790" t="str">
        <f ca="1">IF(Table1[[#This Row],[is_smoker]]=0,"non-smoker","smoker")</f>
        <v>non-smoker</v>
      </c>
      <c r="F1790" t="s">
        <v>27</v>
      </c>
      <c r="G1790" s="2">
        <v>0.53252032520325199</v>
      </c>
      <c r="H1790" s="2">
        <v>1410.47340720699</v>
      </c>
    </row>
    <row r="1791" spans="1:8" x14ac:dyDescent="0.3">
      <c r="A1791" t="s">
        <v>1859</v>
      </c>
      <c r="B1791" t="s">
        <v>60</v>
      </c>
      <c r="C1791">
        <v>30</v>
      </c>
      <c r="D1791" t="s">
        <v>17</v>
      </c>
      <c r="E1791" t="str">
        <f ca="1">IF(Table1[[#This Row],[is_smoker]]=0,"non-smoker","smoker")</f>
        <v>non-smoker</v>
      </c>
      <c r="F1791" t="s">
        <v>24</v>
      </c>
      <c r="G1791" s="2">
        <v>1.70325203252032</v>
      </c>
      <c r="H1791" s="2">
        <v>4984.6620726291303</v>
      </c>
    </row>
    <row r="1792" spans="1:8" x14ac:dyDescent="0.3">
      <c r="A1792" t="s">
        <v>1860</v>
      </c>
      <c r="B1792" t="s">
        <v>46</v>
      </c>
      <c r="C1792">
        <v>62</v>
      </c>
      <c r="D1792" t="s">
        <v>17</v>
      </c>
      <c r="E1792" t="str">
        <f ca="1">IF(Table1[[#This Row],[is_smoker]]=0,"non-smoker","smoker")</f>
        <v>non-smoker</v>
      </c>
      <c r="F1792" t="s">
        <v>14</v>
      </c>
      <c r="G1792" s="2">
        <v>0.66666666666666596</v>
      </c>
      <c r="H1792" s="2">
        <v>1553.2090364416599</v>
      </c>
    </row>
    <row r="1793" spans="1:8" x14ac:dyDescent="0.3">
      <c r="A1793" t="s">
        <v>1861</v>
      </c>
      <c r="B1793" t="s">
        <v>23</v>
      </c>
      <c r="C1793">
        <v>23</v>
      </c>
      <c r="D1793" t="s">
        <v>10</v>
      </c>
      <c r="E1793" t="str">
        <f ca="1">IF(Table1[[#This Row],[is_smoker]]=0,"non-smoker","smoker")</f>
        <v>non-smoker</v>
      </c>
      <c r="F1793" t="s">
        <v>19</v>
      </c>
      <c r="G1793" s="2">
        <v>1.11788617886178</v>
      </c>
      <c r="H1793" s="2">
        <v>1194.6069010569299</v>
      </c>
    </row>
    <row r="1794" spans="1:8" x14ac:dyDescent="0.3">
      <c r="A1794" t="s">
        <v>1862</v>
      </c>
      <c r="B1794" t="s">
        <v>43</v>
      </c>
      <c r="C1794">
        <v>52</v>
      </c>
      <c r="D1794" t="s">
        <v>17</v>
      </c>
      <c r="E1794" t="str">
        <f ca="1">IF(Table1[[#This Row],[is_smoker]]=0,"non-smoker","smoker")</f>
        <v>non-smoker</v>
      </c>
      <c r="F1794" t="s">
        <v>48</v>
      </c>
      <c r="G1794" s="2">
        <v>0.46341463414634099</v>
      </c>
      <c r="H1794" s="2">
        <v>1159.41669230203</v>
      </c>
    </row>
    <row r="1795" spans="1:8" x14ac:dyDescent="0.3">
      <c r="A1795" t="s">
        <v>1863</v>
      </c>
      <c r="B1795" t="s">
        <v>82</v>
      </c>
      <c r="C1795">
        <v>27</v>
      </c>
      <c r="D1795" t="s">
        <v>17</v>
      </c>
      <c r="E1795" t="str">
        <f ca="1">IF(Table1[[#This Row],[is_smoker]]=0,"non-smoker","smoker")</f>
        <v>non-smoker</v>
      </c>
      <c r="F1795" t="s">
        <v>2004</v>
      </c>
      <c r="G1795" s="2">
        <v>1.2073170731707299</v>
      </c>
      <c r="H1795" s="2">
        <v>3609.6304262230101</v>
      </c>
    </row>
    <row r="1796" spans="1:8" x14ac:dyDescent="0.3">
      <c r="A1796" t="s">
        <v>1864</v>
      </c>
      <c r="B1796" t="s">
        <v>175</v>
      </c>
      <c r="C1796">
        <v>44</v>
      </c>
      <c r="D1796" t="s">
        <v>17</v>
      </c>
      <c r="E1796" t="str">
        <f ca="1">IF(Table1[[#This Row],[is_smoker]]=0,"non-smoker","smoker")</f>
        <v>non-smoker</v>
      </c>
      <c r="F1796" t="s">
        <v>48</v>
      </c>
      <c r="G1796" s="2">
        <v>0.46341463414634099</v>
      </c>
      <c r="H1796" s="2">
        <v>1227.4348734473001</v>
      </c>
    </row>
    <row r="1797" spans="1:8" x14ac:dyDescent="0.3">
      <c r="A1797" t="s">
        <v>1865</v>
      </c>
      <c r="B1797" t="s">
        <v>13</v>
      </c>
      <c r="C1797">
        <v>62</v>
      </c>
      <c r="D1797" t="s">
        <v>10</v>
      </c>
      <c r="E1797" t="str">
        <f ca="1">IF(Table1[[#This Row],[is_smoker]]=0,"non-smoker","smoker")</f>
        <v>non-smoker</v>
      </c>
      <c r="F1797" t="s">
        <v>61</v>
      </c>
      <c r="G1797" s="2">
        <v>1.61788617886178</v>
      </c>
      <c r="H1797" s="2">
        <v>1309.4101826404999</v>
      </c>
    </row>
    <row r="1798" spans="1:8" x14ac:dyDescent="0.3">
      <c r="A1798" t="s">
        <v>1866</v>
      </c>
      <c r="B1798" t="s">
        <v>16</v>
      </c>
      <c r="C1798">
        <v>52</v>
      </c>
      <c r="D1798" t="s">
        <v>10</v>
      </c>
      <c r="E1798" t="str">
        <f ca="1">IF(Table1[[#This Row],[is_smoker]]=0,"non-smoker","smoker")</f>
        <v>non-smoker</v>
      </c>
      <c r="F1798" t="s">
        <v>48</v>
      </c>
      <c r="G1798" s="2">
        <v>0.46341463414634099</v>
      </c>
      <c r="H1798" s="2">
        <v>402.759812479679</v>
      </c>
    </row>
    <row r="1799" spans="1:8" x14ac:dyDescent="0.3">
      <c r="A1799" t="s">
        <v>1867</v>
      </c>
      <c r="B1799" t="s">
        <v>21</v>
      </c>
      <c r="C1799">
        <v>45</v>
      </c>
      <c r="D1799" t="s">
        <v>17</v>
      </c>
      <c r="E1799" t="str">
        <f ca="1">IF(Table1[[#This Row],[is_smoker]]=0,"non-smoker","smoker")</f>
        <v>non-smoker</v>
      </c>
      <c r="F1799" t="s">
        <v>61</v>
      </c>
      <c r="G1799" s="2">
        <v>1.61788617886178</v>
      </c>
      <c r="H1799" s="2">
        <v>4254.8261055696903</v>
      </c>
    </row>
    <row r="1800" spans="1:8" x14ac:dyDescent="0.3">
      <c r="A1800" t="s">
        <v>1868</v>
      </c>
      <c r="B1800" t="s">
        <v>41</v>
      </c>
      <c r="C1800">
        <v>31</v>
      </c>
      <c r="D1800" t="s">
        <v>17</v>
      </c>
      <c r="E1800" t="str">
        <f ca="1">IF(Table1[[#This Row],[is_smoker]]=0,"non-smoker","smoker")</f>
        <v>non-smoker</v>
      </c>
      <c r="F1800" t="s">
        <v>11</v>
      </c>
      <c r="G1800" s="2">
        <v>1.1544715447154399</v>
      </c>
      <c r="H1800" s="2">
        <v>3354.6342347252598</v>
      </c>
    </row>
    <row r="1801" spans="1:8" x14ac:dyDescent="0.3">
      <c r="A1801" t="s">
        <v>1869</v>
      </c>
      <c r="B1801" t="s">
        <v>60</v>
      </c>
      <c r="C1801">
        <v>23</v>
      </c>
      <c r="D1801" t="s">
        <v>10</v>
      </c>
      <c r="E1801" t="str">
        <f ca="1">IF(Table1[[#This Row],[is_smoker]]=0,"non-smoker","smoker")</f>
        <v>non-smoker</v>
      </c>
      <c r="F1801" t="s">
        <v>2004</v>
      </c>
      <c r="G1801" s="2">
        <v>1.2073170731707299</v>
      </c>
      <c r="H1801" s="2">
        <v>1290.1754531414799</v>
      </c>
    </row>
    <row r="1802" spans="1:8" x14ac:dyDescent="0.3">
      <c r="A1802" t="s">
        <v>1870</v>
      </c>
      <c r="B1802" t="s">
        <v>50</v>
      </c>
      <c r="C1802">
        <v>59</v>
      </c>
      <c r="D1802" t="s">
        <v>17</v>
      </c>
      <c r="E1802" t="str">
        <f ca="1">IF(Table1[[#This Row],[is_smoker]]=0,"non-smoker","smoker")</f>
        <v>non-smoker</v>
      </c>
      <c r="F1802" t="s">
        <v>48</v>
      </c>
      <c r="G1802" s="2">
        <v>0.46341463414634099</v>
      </c>
      <c r="H1802" s="2">
        <v>1102.9999757882999</v>
      </c>
    </row>
    <row r="1803" spans="1:8" x14ac:dyDescent="0.3">
      <c r="A1803" t="s">
        <v>1871</v>
      </c>
      <c r="B1803" t="s">
        <v>201</v>
      </c>
      <c r="C1803">
        <v>19</v>
      </c>
      <c r="D1803" t="s">
        <v>17</v>
      </c>
      <c r="E1803" t="str">
        <f ca="1">IF(Table1[[#This Row],[is_smoker]]=0,"non-smoker","smoker")</f>
        <v>non-smoker</v>
      </c>
      <c r="F1803" t="s">
        <v>11</v>
      </c>
      <c r="G1803" s="2">
        <v>1.1544715447154399</v>
      </c>
      <c r="H1803" s="2">
        <v>3654.1261723913599</v>
      </c>
    </row>
    <row r="1804" spans="1:8" x14ac:dyDescent="0.3">
      <c r="A1804" t="s">
        <v>1872</v>
      </c>
      <c r="B1804" t="s">
        <v>46</v>
      </c>
      <c r="C1804">
        <v>44</v>
      </c>
      <c r="D1804" t="s">
        <v>10</v>
      </c>
      <c r="E1804" t="str">
        <f ca="1">IF(Table1[[#This Row],[is_smoker]]=0,"non-smoker","smoker")</f>
        <v>non-smoker</v>
      </c>
      <c r="F1804" t="s">
        <v>44</v>
      </c>
      <c r="G1804" s="2">
        <v>1.1341463414634101</v>
      </c>
      <c r="H1804" s="2">
        <v>1043.5286843420299</v>
      </c>
    </row>
    <row r="1805" spans="1:8" x14ac:dyDescent="0.3">
      <c r="A1805" t="s">
        <v>1873</v>
      </c>
      <c r="B1805" t="s">
        <v>46</v>
      </c>
      <c r="C1805">
        <v>52</v>
      </c>
      <c r="D1805" t="s">
        <v>17</v>
      </c>
      <c r="E1805" t="str">
        <f ca="1">IF(Table1[[#This Row],[is_smoker]]=0,"non-smoker","smoker")</f>
        <v>non-smoker</v>
      </c>
      <c r="F1805" t="s">
        <v>14</v>
      </c>
      <c r="G1805" s="2">
        <v>0.66666666666666596</v>
      </c>
      <c r="H1805" s="2">
        <v>1667.9327854169501</v>
      </c>
    </row>
    <row r="1806" spans="1:8" x14ac:dyDescent="0.3">
      <c r="A1806" t="s">
        <v>1874</v>
      </c>
      <c r="B1806" t="s">
        <v>26</v>
      </c>
      <c r="C1806">
        <v>36</v>
      </c>
      <c r="D1806" t="s">
        <v>10</v>
      </c>
      <c r="E1806" t="str">
        <f ca="1">IF(Table1[[#This Row],[is_smoker]]=0,"non-smoker","smoker")</f>
        <v>non-smoker</v>
      </c>
      <c r="F1806" t="s">
        <v>11</v>
      </c>
      <c r="G1806" s="2">
        <v>1.1544715447154399</v>
      </c>
      <c r="H1806" s="2">
        <v>1124.5465502148299</v>
      </c>
    </row>
    <row r="1807" spans="1:8" x14ac:dyDescent="0.3">
      <c r="A1807" t="s">
        <v>1875</v>
      </c>
      <c r="B1807" t="s">
        <v>63</v>
      </c>
      <c r="C1807">
        <v>29</v>
      </c>
      <c r="D1807" t="s">
        <v>10</v>
      </c>
      <c r="E1807" t="str">
        <f ca="1">IF(Table1[[#This Row],[is_smoker]]=0,"non-smoker","smoker")</f>
        <v>non-smoker</v>
      </c>
      <c r="F1807" t="s">
        <v>14</v>
      </c>
      <c r="G1807" s="2">
        <v>0.66666666666666596</v>
      </c>
      <c r="H1807" s="2">
        <v>682.60111193022396</v>
      </c>
    </row>
    <row r="1808" spans="1:8" x14ac:dyDescent="0.3">
      <c r="A1808" t="s">
        <v>1876</v>
      </c>
      <c r="B1808" t="s">
        <v>92</v>
      </c>
      <c r="C1808">
        <v>21</v>
      </c>
      <c r="D1808" t="s">
        <v>17</v>
      </c>
      <c r="E1808" t="str">
        <f ca="1">IF(Table1[[#This Row],[is_smoker]]=0,"non-smoker","smoker")</f>
        <v>non-smoker</v>
      </c>
      <c r="F1808" t="s">
        <v>48</v>
      </c>
      <c r="G1808" s="2">
        <v>0.46341463414634099</v>
      </c>
      <c r="H1808" s="2">
        <v>1446.04005451373</v>
      </c>
    </row>
    <row r="1809" spans="1:8" x14ac:dyDescent="0.3">
      <c r="A1809" t="s">
        <v>1877</v>
      </c>
      <c r="B1809" t="s">
        <v>408</v>
      </c>
      <c r="C1809">
        <v>46</v>
      </c>
      <c r="D1809" t="s">
        <v>10</v>
      </c>
      <c r="E1809" t="str">
        <f ca="1">IF(Table1[[#This Row],[is_smoker]]=0,"non-smoker","smoker")</f>
        <v>non-smoker</v>
      </c>
      <c r="F1809" t="s">
        <v>24</v>
      </c>
      <c r="G1809" s="2">
        <v>1.70325203252032</v>
      </c>
      <c r="H1809" s="2">
        <v>1544.98576989916</v>
      </c>
    </row>
    <row r="1810" spans="1:8" x14ac:dyDescent="0.3">
      <c r="A1810" t="s">
        <v>1878</v>
      </c>
      <c r="B1810" t="s">
        <v>46</v>
      </c>
      <c r="C1810">
        <v>34</v>
      </c>
      <c r="D1810" t="s">
        <v>10</v>
      </c>
      <c r="E1810" t="str">
        <f ca="1">IF(Table1[[#This Row],[is_smoker]]=0,"non-smoker","smoker")</f>
        <v>non-smoker</v>
      </c>
      <c r="F1810" t="s">
        <v>11</v>
      </c>
      <c r="G1810" s="2">
        <v>1.1544715447154399</v>
      </c>
      <c r="H1810" s="2">
        <v>1140.6887673957001</v>
      </c>
    </row>
    <row r="1811" spans="1:8" x14ac:dyDescent="0.3">
      <c r="A1811" t="s">
        <v>1879</v>
      </c>
      <c r="B1811" t="s">
        <v>29</v>
      </c>
      <c r="C1811">
        <v>19</v>
      </c>
      <c r="D1811" t="s">
        <v>17</v>
      </c>
      <c r="E1811" t="str">
        <f ca="1">IF(Table1[[#This Row],[is_smoker]]=0,"non-smoker","smoker")</f>
        <v>non-smoker</v>
      </c>
      <c r="F1811" t="s">
        <v>2004</v>
      </c>
      <c r="G1811" s="2">
        <v>1.2073170731707299</v>
      </c>
      <c r="H1811" s="2">
        <v>3821.3925112684301</v>
      </c>
    </row>
    <row r="1812" spans="1:8" x14ac:dyDescent="0.3">
      <c r="A1812" t="s">
        <v>1880</v>
      </c>
      <c r="B1812" t="s">
        <v>272</v>
      </c>
      <c r="C1812">
        <v>55</v>
      </c>
      <c r="D1812" t="s">
        <v>10</v>
      </c>
      <c r="E1812" t="str">
        <f ca="1">IF(Table1[[#This Row],[is_smoker]]=0,"non-smoker","smoker")</f>
        <v>non-smoker</v>
      </c>
      <c r="F1812" t="s">
        <v>48</v>
      </c>
      <c r="G1812" s="2">
        <v>0.46341463414634099</v>
      </c>
      <c r="H1812" s="2">
        <v>394.24077413563901</v>
      </c>
    </row>
    <row r="1813" spans="1:8" x14ac:dyDescent="0.3">
      <c r="A1813" t="s">
        <v>1881</v>
      </c>
      <c r="B1813" t="s">
        <v>29</v>
      </c>
      <c r="C1813">
        <v>53</v>
      </c>
      <c r="D1813" t="s">
        <v>10</v>
      </c>
      <c r="E1813" t="str">
        <f ca="1">IF(Table1[[#This Row],[is_smoker]]=0,"non-smoker","smoker")</f>
        <v>non-smoker</v>
      </c>
      <c r="F1813" t="s">
        <v>19</v>
      </c>
      <c r="G1813" s="2">
        <v>1.11788617886178</v>
      </c>
      <c r="H1813" s="2">
        <v>964.67074647016295</v>
      </c>
    </row>
    <row r="1814" spans="1:8" x14ac:dyDescent="0.3">
      <c r="A1814" t="s">
        <v>1882</v>
      </c>
      <c r="B1814" t="s">
        <v>113</v>
      </c>
      <c r="C1814">
        <v>62</v>
      </c>
      <c r="D1814" t="s">
        <v>10</v>
      </c>
      <c r="E1814" t="str">
        <f ca="1">IF(Table1[[#This Row],[is_smoker]]=0,"non-smoker","smoker")</f>
        <v>non-smoker</v>
      </c>
      <c r="F1814" t="s">
        <v>56</v>
      </c>
      <c r="G1814" s="2">
        <v>0.19512195121951201</v>
      </c>
      <c r="H1814" s="2">
        <v>157.91881599684399</v>
      </c>
    </row>
    <row r="1815" spans="1:8" x14ac:dyDescent="0.3">
      <c r="A1815" t="s">
        <v>1883</v>
      </c>
      <c r="B1815" t="s">
        <v>33</v>
      </c>
      <c r="C1815">
        <v>60</v>
      </c>
      <c r="D1815" t="s">
        <v>17</v>
      </c>
      <c r="E1815" t="str">
        <f ca="1">IF(Table1[[#This Row],[is_smoker]]=0,"non-smoker","smoker")</f>
        <v>non-smoker</v>
      </c>
      <c r="F1815" t="s">
        <v>11</v>
      </c>
      <c r="G1815" s="2">
        <v>1.1544715447154399</v>
      </c>
      <c r="H1815" s="2">
        <v>2728.3125952197202</v>
      </c>
    </row>
    <row r="1816" spans="1:8" x14ac:dyDescent="0.3">
      <c r="A1816" t="s">
        <v>1884</v>
      </c>
      <c r="B1816" t="s">
        <v>113</v>
      </c>
      <c r="C1816">
        <v>49</v>
      </c>
      <c r="D1816" t="s">
        <v>10</v>
      </c>
      <c r="E1816" t="str">
        <f ca="1">IF(Table1[[#This Row],[is_smoker]]=0,"non-smoker","smoker")</f>
        <v>non-smoker</v>
      </c>
      <c r="F1816" t="s">
        <v>2004</v>
      </c>
      <c r="G1816" s="2">
        <v>1.2073170731707299</v>
      </c>
      <c r="H1816" s="2">
        <v>1071.9692288716601</v>
      </c>
    </row>
    <row r="1817" spans="1:8" x14ac:dyDescent="0.3">
      <c r="A1817" t="s">
        <v>1885</v>
      </c>
      <c r="B1817" t="s">
        <v>13</v>
      </c>
      <c r="C1817">
        <v>35</v>
      </c>
      <c r="D1817" t="s">
        <v>17</v>
      </c>
      <c r="E1817" t="str">
        <f ca="1">IF(Table1[[#This Row],[is_smoker]]=0,"non-smoker","smoker")</f>
        <v>non-smoker</v>
      </c>
      <c r="F1817" t="s">
        <v>44</v>
      </c>
      <c r="G1817" s="2">
        <v>1.1341463414634101</v>
      </c>
      <c r="H1817" s="2">
        <v>3202.9605029176901</v>
      </c>
    </row>
    <row r="1818" spans="1:8" x14ac:dyDescent="0.3">
      <c r="A1818" t="s">
        <v>1886</v>
      </c>
      <c r="B1818" t="s">
        <v>50</v>
      </c>
      <c r="C1818">
        <v>59</v>
      </c>
      <c r="D1818" t="s">
        <v>10</v>
      </c>
      <c r="E1818" t="str">
        <f ca="1">IF(Table1[[#This Row],[is_smoker]]=0,"non-smoker","smoker")</f>
        <v>non-smoker</v>
      </c>
      <c r="F1818" t="s">
        <v>19</v>
      </c>
      <c r="G1818" s="2">
        <v>1.11788617886178</v>
      </c>
      <c r="H1818" s="2">
        <v>924.29355912911501</v>
      </c>
    </row>
    <row r="1819" spans="1:8" x14ac:dyDescent="0.3">
      <c r="A1819" t="s">
        <v>1887</v>
      </c>
      <c r="B1819" t="s">
        <v>92</v>
      </c>
      <c r="C1819">
        <v>19</v>
      </c>
      <c r="D1819" t="s">
        <v>17</v>
      </c>
      <c r="E1819" t="str">
        <f ca="1">IF(Table1[[#This Row],[is_smoker]]=0,"non-smoker","smoker")</f>
        <v>non-smoker</v>
      </c>
      <c r="F1819" t="s">
        <v>44</v>
      </c>
      <c r="G1819" s="2">
        <v>1.1341463414634101</v>
      </c>
      <c r="H1819" s="2">
        <v>3589.7929651309501</v>
      </c>
    </row>
    <row r="1820" spans="1:8" x14ac:dyDescent="0.3">
      <c r="A1820" t="s">
        <v>1888</v>
      </c>
      <c r="B1820" t="s">
        <v>245</v>
      </c>
      <c r="C1820">
        <v>21</v>
      </c>
      <c r="D1820" t="s">
        <v>10</v>
      </c>
      <c r="E1820" t="str">
        <f ca="1">IF(Table1[[#This Row],[is_smoker]]=0,"non-smoker","smoker")</f>
        <v>non-smoker</v>
      </c>
      <c r="F1820" t="s">
        <v>48</v>
      </c>
      <c r="G1820" s="2">
        <v>0.46341463414634099</v>
      </c>
      <c r="H1820" s="2">
        <v>502.327441946421</v>
      </c>
    </row>
    <row r="1821" spans="1:8" x14ac:dyDescent="0.3">
      <c r="A1821" t="s">
        <v>1889</v>
      </c>
      <c r="B1821" t="s">
        <v>29</v>
      </c>
      <c r="C1821">
        <v>62</v>
      </c>
      <c r="D1821" t="s">
        <v>10</v>
      </c>
      <c r="E1821" t="str">
        <f ca="1">IF(Table1[[#This Row],[is_smoker]]=0,"non-smoker","smoker")</f>
        <v>non-smoker</v>
      </c>
      <c r="F1821" t="s">
        <v>56</v>
      </c>
      <c r="G1821" s="2">
        <v>0.19512195121951201</v>
      </c>
      <c r="H1821" s="2">
        <v>157.91881599684399</v>
      </c>
    </row>
    <row r="1822" spans="1:8" x14ac:dyDescent="0.3">
      <c r="A1822" t="s">
        <v>1890</v>
      </c>
      <c r="B1822" t="s">
        <v>16</v>
      </c>
      <c r="C1822">
        <v>18</v>
      </c>
      <c r="D1822" t="s">
        <v>10</v>
      </c>
      <c r="E1822" t="str">
        <f ca="1">IF(Table1[[#This Row],[is_smoker]]=0,"non-smoker","smoker")</f>
        <v>non-smoker</v>
      </c>
      <c r="F1822" t="s">
        <v>11</v>
      </c>
      <c r="G1822" s="2">
        <v>1.1544715447154399</v>
      </c>
      <c r="H1822" s="2">
        <v>1278.4536396470901</v>
      </c>
    </row>
    <row r="1823" spans="1:8" x14ac:dyDescent="0.3">
      <c r="A1823" t="s">
        <v>1891</v>
      </c>
      <c r="B1823" t="s">
        <v>46</v>
      </c>
      <c r="C1823">
        <v>25</v>
      </c>
      <c r="D1823" t="s">
        <v>17</v>
      </c>
      <c r="E1823" t="str">
        <f ca="1">IF(Table1[[#This Row],[is_smoker]]=0,"non-smoker","smoker")</f>
        <v>non-smoker</v>
      </c>
      <c r="F1823" t="s">
        <v>11</v>
      </c>
      <c r="G1823" s="2">
        <v>1.1544715447154399</v>
      </c>
      <c r="H1823" s="2">
        <v>3501.1793378674101</v>
      </c>
    </row>
    <row r="1824" spans="1:8" x14ac:dyDescent="0.3">
      <c r="A1824" t="s">
        <v>1892</v>
      </c>
      <c r="B1824" t="s">
        <v>13</v>
      </c>
      <c r="C1824">
        <v>55</v>
      </c>
      <c r="D1824" t="s">
        <v>17</v>
      </c>
      <c r="E1824" t="str">
        <f ca="1">IF(Table1[[#This Row],[is_smoker]]=0,"non-smoker","smoker")</f>
        <v>non-smoker</v>
      </c>
      <c r="F1824" t="s">
        <v>24</v>
      </c>
      <c r="G1824" s="2">
        <v>1.70325203252032</v>
      </c>
      <c r="H1824" s="2">
        <v>4171.2299225113402</v>
      </c>
    </row>
    <row r="1825" spans="1:8" x14ac:dyDescent="0.3">
      <c r="A1825" t="s">
        <v>1893</v>
      </c>
      <c r="B1825" t="s">
        <v>82</v>
      </c>
      <c r="C1825">
        <v>22</v>
      </c>
      <c r="D1825" t="s">
        <v>10</v>
      </c>
      <c r="E1825" t="str">
        <f ca="1">IF(Table1[[#This Row],[is_smoker]]=0,"non-smoker","smoker")</f>
        <v>non-smoker</v>
      </c>
      <c r="F1825" t="s">
        <v>24</v>
      </c>
      <c r="G1825" s="2">
        <v>1.70325203252032</v>
      </c>
      <c r="H1825" s="2">
        <v>1833.16354490563</v>
      </c>
    </row>
    <row r="1826" spans="1:8" x14ac:dyDescent="0.3">
      <c r="A1826" t="s">
        <v>1894</v>
      </c>
      <c r="B1826" t="s">
        <v>33</v>
      </c>
      <c r="C1826">
        <v>36</v>
      </c>
      <c r="D1826" t="s">
        <v>17</v>
      </c>
      <c r="E1826" t="str">
        <f ca="1">IF(Table1[[#This Row],[is_smoker]]=0,"non-smoker","smoker")</f>
        <v>non-smoker</v>
      </c>
      <c r="F1826" t="s">
        <v>48</v>
      </c>
      <c r="G1826" s="2">
        <v>0.46341463414634099</v>
      </c>
      <c r="H1826" s="2">
        <v>1299.44339990763</v>
      </c>
    </row>
    <row r="1827" spans="1:8" x14ac:dyDescent="0.3">
      <c r="A1827" t="s">
        <v>1895</v>
      </c>
      <c r="B1827" t="s">
        <v>16</v>
      </c>
      <c r="C1827">
        <v>22</v>
      </c>
      <c r="D1827" t="s">
        <v>17</v>
      </c>
      <c r="E1827" t="str">
        <f ca="1">IF(Table1[[#This Row],[is_smoker]]=0,"non-smoker","smoker")</f>
        <v>non-smoker</v>
      </c>
      <c r="F1827" t="s">
        <v>48</v>
      </c>
      <c r="G1827" s="2">
        <v>0.46341463414634099</v>
      </c>
      <c r="H1827" s="2">
        <v>1435.7719324366799</v>
      </c>
    </row>
    <row r="1828" spans="1:8" x14ac:dyDescent="0.3">
      <c r="A1828" t="s">
        <v>1896</v>
      </c>
      <c r="B1828" t="s">
        <v>29</v>
      </c>
      <c r="C1828">
        <v>25</v>
      </c>
      <c r="D1828" t="s">
        <v>17</v>
      </c>
      <c r="E1828" t="str">
        <f ca="1">IF(Table1[[#This Row],[is_smoker]]=0,"non-smoker","smoker")</f>
        <v>non-smoker</v>
      </c>
      <c r="F1828" t="s">
        <v>56</v>
      </c>
      <c r="G1828" s="2">
        <v>0.19512195121951201</v>
      </c>
      <c r="H1828" s="2">
        <v>591.74862048463297</v>
      </c>
    </row>
    <row r="1829" spans="1:8" x14ac:dyDescent="0.3">
      <c r="A1829" t="s">
        <v>1897</v>
      </c>
      <c r="B1829" t="s">
        <v>60</v>
      </c>
      <c r="C1829">
        <v>31</v>
      </c>
      <c r="D1829" t="s">
        <v>17</v>
      </c>
      <c r="E1829" t="str">
        <f ca="1">IF(Table1[[#This Row],[is_smoker]]=0,"non-smoker","smoker")</f>
        <v>non-smoker</v>
      </c>
      <c r="F1829" t="s">
        <v>24</v>
      </c>
      <c r="G1829" s="2">
        <v>1.70325203252032</v>
      </c>
      <c r="H1829" s="2">
        <v>4949.2667054573503</v>
      </c>
    </row>
    <row r="1830" spans="1:8" x14ac:dyDescent="0.3">
      <c r="A1830" t="s">
        <v>1898</v>
      </c>
      <c r="B1830" t="s">
        <v>41</v>
      </c>
      <c r="C1830">
        <v>64</v>
      </c>
      <c r="D1830" t="s">
        <v>17</v>
      </c>
      <c r="E1830" t="str">
        <f ca="1">IF(Table1[[#This Row],[is_smoker]]=0,"non-smoker","smoker")</f>
        <v>non-smoker</v>
      </c>
      <c r="F1830" t="s">
        <v>2004</v>
      </c>
      <c r="G1830" s="2">
        <v>1.2073170731707299</v>
      </c>
      <c r="H1830" s="2">
        <v>2773.0185991111498</v>
      </c>
    </row>
    <row r="1831" spans="1:8" x14ac:dyDescent="0.3">
      <c r="A1831" t="s">
        <v>1899</v>
      </c>
      <c r="B1831" t="s">
        <v>60</v>
      </c>
      <c r="C1831">
        <v>59</v>
      </c>
      <c r="D1831" t="s">
        <v>17</v>
      </c>
      <c r="E1831" t="str">
        <f ca="1">IF(Table1[[#This Row],[is_smoker]]=0,"non-smoker","smoker")</f>
        <v>non-smoker</v>
      </c>
      <c r="F1831" t="s">
        <v>2004</v>
      </c>
      <c r="G1831" s="2">
        <v>1.2073170731707299</v>
      </c>
      <c r="H1831" s="2">
        <v>2873.6052000800501</v>
      </c>
    </row>
    <row r="1832" spans="1:8" x14ac:dyDescent="0.3">
      <c r="A1832" t="s">
        <v>1900</v>
      </c>
      <c r="B1832" t="s">
        <v>13</v>
      </c>
      <c r="C1832">
        <v>56</v>
      </c>
      <c r="D1832" t="s">
        <v>17</v>
      </c>
      <c r="E1832" t="str">
        <f ca="1">IF(Table1[[#This Row],[is_smoker]]=0,"non-smoker","smoker")</f>
        <v>non-smoker</v>
      </c>
      <c r="F1832" t="s">
        <v>56</v>
      </c>
      <c r="G1832" s="2">
        <v>0.19512195121951201</v>
      </c>
      <c r="H1832" s="2">
        <v>474.456586520553</v>
      </c>
    </row>
    <row r="1833" spans="1:8" x14ac:dyDescent="0.3">
      <c r="A1833" t="s">
        <v>1901</v>
      </c>
      <c r="B1833" t="s">
        <v>113</v>
      </c>
      <c r="C1833">
        <v>50</v>
      </c>
      <c r="D1833" t="s">
        <v>17</v>
      </c>
      <c r="E1833" t="str">
        <f ca="1">IF(Table1[[#This Row],[is_smoker]]=0,"non-smoker","smoker")</f>
        <v>non-smoker</v>
      </c>
      <c r="F1833" t="s">
        <v>2004</v>
      </c>
      <c r="G1833" s="2">
        <v>1.2073170731707299</v>
      </c>
      <c r="H1833" s="2">
        <v>3063.9443572622699</v>
      </c>
    </row>
    <row r="1834" spans="1:8" x14ac:dyDescent="0.3">
      <c r="A1834" t="s">
        <v>1902</v>
      </c>
      <c r="B1834" t="s">
        <v>13</v>
      </c>
      <c r="C1834">
        <v>64</v>
      </c>
      <c r="D1834" t="s">
        <v>17</v>
      </c>
      <c r="E1834" t="str">
        <f ca="1">IF(Table1[[#This Row],[is_smoker]]=0,"non-smoker","smoker")</f>
        <v>non-smoker</v>
      </c>
      <c r="F1834" t="s">
        <v>61</v>
      </c>
      <c r="G1834" s="2">
        <v>1.61788617886178</v>
      </c>
      <c r="H1834" s="2">
        <v>3716.0316580681501</v>
      </c>
    </row>
    <row r="1835" spans="1:8" x14ac:dyDescent="0.3">
      <c r="A1835" t="s">
        <v>1903</v>
      </c>
      <c r="B1835" t="s">
        <v>23</v>
      </c>
      <c r="C1835">
        <v>52</v>
      </c>
      <c r="D1835" t="s">
        <v>17</v>
      </c>
      <c r="E1835" t="str">
        <f ca="1">IF(Table1[[#This Row],[is_smoker]]=0,"non-smoker","smoker")</f>
        <v>non-smoker</v>
      </c>
      <c r="F1835" t="s">
        <v>14</v>
      </c>
      <c r="G1835" s="2">
        <v>0.66666666666666596</v>
      </c>
      <c r="H1835" s="2">
        <v>1667.9327854169501</v>
      </c>
    </row>
    <row r="1836" spans="1:8" x14ac:dyDescent="0.3">
      <c r="A1836" t="s">
        <v>1904</v>
      </c>
      <c r="B1836" t="s">
        <v>37</v>
      </c>
      <c r="C1836">
        <v>45</v>
      </c>
      <c r="D1836" t="s">
        <v>17</v>
      </c>
      <c r="E1836" t="str">
        <f ca="1">IF(Table1[[#This Row],[is_smoker]]=0,"non-smoker","smoker")</f>
        <v>non-smoker</v>
      </c>
      <c r="F1836" t="s">
        <v>56</v>
      </c>
      <c r="G1836" s="2">
        <v>0.19512195121951201</v>
      </c>
      <c r="H1836" s="2">
        <v>513.14485695312806</v>
      </c>
    </row>
    <row r="1837" spans="1:8" x14ac:dyDescent="0.3">
      <c r="A1837" t="s">
        <v>1905</v>
      </c>
      <c r="B1837" t="s">
        <v>13</v>
      </c>
      <c r="C1837">
        <v>38</v>
      </c>
      <c r="D1837" t="s">
        <v>10</v>
      </c>
      <c r="E1837" t="str">
        <f ca="1">IF(Table1[[#This Row],[is_smoker]]=0,"non-smoker","smoker")</f>
        <v>non-smoker</v>
      </c>
      <c r="F1837" t="s">
        <v>56</v>
      </c>
      <c r="G1837" s="2">
        <v>0.19512195121951201</v>
      </c>
      <c r="H1837" s="2">
        <v>187.37455203808699</v>
      </c>
    </row>
    <row r="1838" spans="1:8" x14ac:dyDescent="0.3">
      <c r="A1838" t="s">
        <v>1906</v>
      </c>
      <c r="B1838" t="s">
        <v>43</v>
      </c>
      <c r="C1838">
        <v>28</v>
      </c>
      <c r="D1838" t="s">
        <v>10</v>
      </c>
      <c r="E1838" t="str">
        <f ca="1">IF(Table1[[#This Row],[is_smoker]]=0,"non-smoker","smoker")</f>
        <v>non-smoker</v>
      </c>
      <c r="F1838" t="s">
        <v>27</v>
      </c>
      <c r="G1838" s="2">
        <v>0.53252032520325199</v>
      </c>
      <c r="H1838" s="2">
        <v>549.14786905899302</v>
      </c>
    </row>
    <row r="1839" spans="1:8" x14ac:dyDescent="0.3">
      <c r="A1839" t="s">
        <v>1907</v>
      </c>
      <c r="B1839" t="s">
        <v>46</v>
      </c>
      <c r="C1839">
        <v>36</v>
      </c>
      <c r="D1839" t="s">
        <v>17</v>
      </c>
      <c r="E1839" t="str">
        <f ca="1">IF(Table1[[#This Row],[is_smoker]]=0,"non-smoker","smoker")</f>
        <v>non-smoker</v>
      </c>
      <c r="F1839" t="s">
        <v>19</v>
      </c>
      <c r="G1839" s="2">
        <v>1.11788617886178</v>
      </c>
      <c r="H1839" s="2">
        <v>3134.6222366192801</v>
      </c>
    </row>
    <row r="1840" spans="1:8" x14ac:dyDescent="0.3">
      <c r="A1840" t="s">
        <v>1908</v>
      </c>
      <c r="B1840" t="s">
        <v>192</v>
      </c>
      <c r="C1840">
        <v>18</v>
      </c>
      <c r="D1840" t="s">
        <v>10</v>
      </c>
      <c r="E1840" t="str">
        <f ca="1">IF(Table1[[#This Row],[is_smoker]]=0,"non-smoker","smoker")</f>
        <v>non-smoker</v>
      </c>
      <c r="F1840" t="s">
        <v>19</v>
      </c>
      <c r="G1840" s="2">
        <v>1.11788617886178</v>
      </c>
      <c r="H1840" s="2">
        <v>1237.93926374278</v>
      </c>
    </row>
    <row r="1841" spans="1:8" x14ac:dyDescent="0.3">
      <c r="A1841" t="s">
        <v>1909</v>
      </c>
      <c r="B1841" t="s">
        <v>13</v>
      </c>
      <c r="C1841">
        <v>42</v>
      </c>
      <c r="D1841" t="s">
        <v>10</v>
      </c>
      <c r="E1841" t="str">
        <f ca="1">IF(Table1[[#This Row],[is_smoker]]=0,"non-smoker","smoker")</f>
        <v>non-smoker</v>
      </c>
      <c r="F1841" t="s">
        <v>61</v>
      </c>
      <c r="G1841" s="2">
        <v>1.61788617886178</v>
      </c>
      <c r="H1841" s="2">
        <v>1509.98623239991</v>
      </c>
    </row>
    <row r="1842" spans="1:8" x14ac:dyDescent="0.3">
      <c r="A1842" t="s">
        <v>1910</v>
      </c>
      <c r="B1842" t="s">
        <v>50</v>
      </c>
      <c r="C1842">
        <v>35</v>
      </c>
      <c r="D1842" t="s">
        <v>10</v>
      </c>
      <c r="E1842" t="str">
        <f ca="1">IF(Table1[[#This Row],[is_smoker]]=0,"non-smoker","smoker")</f>
        <v>non-smoker</v>
      </c>
      <c r="F1842" t="s">
        <v>24</v>
      </c>
      <c r="G1842" s="2">
        <v>1.70325203252032</v>
      </c>
      <c r="H1842" s="2">
        <v>1670.9674276071601</v>
      </c>
    </row>
    <row r="1843" spans="1:8" x14ac:dyDescent="0.3">
      <c r="A1843" t="s">
        <v>1911</v>
      </c>
      <c r="B1843" t="s">
        <v>31</v>
      </c>
      <c r="C1843">
        <v>24</v>
      </c>
      <c r="D1843" t="s">
        <v>17</v>
      </c>
      <c r="E1843" t="str">
        <f ca="1">IF(Table1[[#This Row],[is_smoker]]=0,"non-smoker","smoker")</f>
        <v>non-smoker</v>
      </c>
      <c r="F1843" t="s">
        <v>48</v>
      </c>
      <c r="G1843" s="2">
        <v>0.46341463414634099</v>
      </c>
      <c r="H1843" s="2">
        <v>1415.45390790795</v>
      </c>
    </row>
    <row r="1844" spans="1:8" x14ac:dyDescent="0.3">
      <c r="A1844" t="s">
        <v>1912</v>
      </c>
      <c r="B1844" t="s">
        <v>63</v>
      </c>
      <c r="C1844">
        <v>48</v>
      </c>
      <c r="D1844" t="s">
        <v>17</v>
      </c>
      <c r="E1844" t="str">
        <f ca="1">IF(Table1[[#This Row],[is_smoker]]=0,"non-smoker","smoker")</f>
        <v>non-smoker</v>
      </c>
      <c r="F1844" t="s">
        <v>48</v>
      </c>
      <c r="G1844" s="2">
        <v>0.46341463414634099</v>
      </c>
      <c r="H1844" s="2">
        <v>1192.94110541486</v>
      </c>
    </row>
    <row r="1845" spans="1:8" x14ac:dyDescent="0.3">
      <c r="A1845" t="s">
        <v>1913</v>
      </c>
      <c r="B1845" t="s">
        <v>29</v>
      </c>
      <c r="C1845">
        <v>57</v>
      </c>
      <c r="D1845" t="s">
        <v>17</v>
      </c>
      <c r="E1845" t="str">
        <f ca="1">IF(Table1[[#This Row],[is_smoker]]=0,"non-smoker","smoker")</f>
        <v>non-smoker</v>
      </c>
      <c r="F1845" t="s">
        <v>44</v>
      </c>
      <c r="G1845" s="2">
        <v>1.1341463414634101</v>
      </c>
      <c r="H1845" s="2">
        <v>2738.19631846638</v>
      </c>
    </row>
    <row r="1846" spans="1:8" x14ac:dyDescent="0.3">
      <c r="A1846" t="s">
        <v>1914</v>
      </c>
      <c r="B1846" t="s">
        <v>110</v>
      </c>
      <c r="C1846">
        <v>44</v>
      </c>
      <c r="D1846" t="s">
        <v>10</v>
      </c>
      <c r="E1846" t="str">
        <f ca="1">IF(Table1[[#This Row],[is_smoker]]=0,"non-smoker","smoker")</f>
        <v>non-smoker</v>
      </c>
      <c r="F1846" t="s">
        <v>61</v>
      </c>
      <c r="G1846" s="2">
        <v>1.61788617886178</v>
      </c>
      <c r="H1846" s="2">
        <v>1488.6179798140899</v>
      </c>
    </row>
    <row r="1847" spans="1:8" x14ac:dyDescent="0.3">
      <c r="A1847" t="s">
        <v>1915</v>
      </c>
      <c r="B1847" t="s">
        <v>63</v>
      </c>
      <c r="C1847">
        <v>29</v>
      </c>
      <c r="D1847" t="s">
        <v>17</v>
      </c>
      <c r="E1847" t="str">
        <f ca="1">IF(Table1[[#This Row],[is_smoker]]=0,"non-smoker","smoker")</f>
        <v>non-smoker</v>
      </c>
      <c r="F1847" t="s">
        <v>56</v>
      </c>
      <c r="G1847" s="2">
        <v>0.19512195121951201</v>
      </c>
      <c r="H1847" s="2">
        <v>575.11911118025</v>
      </c>
    </row>
    <row r="1848" spans="1:8" x14ac:dyDescent="0.3">
      <c r="A1848" t="s">
        <v>1916</v>
      </c>
      <c r="B1848" t="s">
        <v>16</v>
      </c>
      <c r="C1848">
        <v>30</v>
      </c>
      <c r="D1848" t="s">
        <v>10</v>
      </c>
      <c r="E1848" t="str">
        <f ca="1">IF(Table1[[#This Row],[is_smoker]]=0,"non-smoker","smoker")</f>
        <v>non-smoker</v>
      </c>
      <c r="F1848" t="s">
        <v>61</v>
      </c>
      <c r="G1848" s="2">
        <v>1.61788617886178</v>
      </c>
      <c r="H1848" s="2">
        <v>1644.7933889922399</v>
      </c>
    </row>
    <row r="1849" spans="1:8" x14ac:dyDescent="0.3">
      <c r="A1849" t="s">
        <v>1917</v>
      </c>
      <c r="B1849" t="s">
        <v>192</v>
      </c>
      <c r="C1849">
        <v>29</v>
      </c>
      <c r="D1849" t="s">
        <v>17</v>
      </c>
      <c r="E1849" t="str">
        <f ca="1">IF(Table1[[#This Row],[is_smoker]]=0,"non-smoker","smoker")</f>
        <v>non-smoker</v>
      </c>
      <c r="F1849" t="s">
        <v>61</v>
      </c>
      <c r="G1849" s="2">
        <v>1.61788617886178</v>
      </c>
      <c r="H1849" s="2">
        <v>4768.69596353624</v>
      </c>
    </row>
    <row r="1850" spans="1:8" x14ac:dyDescent="0.3">
      <c r="A1850" t="s">
        <v>1918</v>
      </c>
      <c r="B1850" t="s">
        <v>60</v>
      </c>
      <c r="C1850">
        <v>59</v>
      </c>
      <c r="D1850" t="s">
        <v>17</v>
      </c>
      <c r="E1850" t="str">
        <f ca="1">IF(Table1[[#This Row],[is_smoker]]=0,"non-smoker","smoker")</f>
        <v>non-smoker</v>
      </c>
      <c r="F1850" t="s">
        <v>61</v>
      </c>
      <c r="G1850" s="2">
        <v>1.61788617886178</v>
      </c>
      <c r="H1850" s="2">
        <v>3850.8244768749501</v>
      </c>
    </row>
    <row r="1851" spans="1:8" x14ac:dyDescent="0.3">
      <c r="A1851" t="s">
        <v>1919</v>
      </c>
      <c r="B1851" t="s">
        <v>113</v>
      </c>
      <c r="C1851">
        <v>23</v>
      </c>
      <c r="D1851" t="s">
        <v>10</v>
      </c>
      <c r="E1851" t="str">
        <f ca="1">IF(Table1[[#This Row],[is_smoker]]=0,"non-smoker","smoker")</f>
        <v>smoker</v>
      </c>
      <c r="F1851" t="s">
        <v>19</v>
      </c>
      <c r="G1851" s="2">
        <v>1.11788617886178</v>
      </c>
      <c r="H1851" s="2">
        <v>1282.8994865709601</v>
      </c>
    </row>
    <row r="1852" spans="1:8" x14ac:dyDescent="0.3">
      <c r="A1852" t="s">
        <v>1920</v>
      </c>
      <c r="B1852" t="s">
        <v>16</v>
      </c>
      <c r="C1852">
        <v>33</v>
      </c>
      <c r="D1852" t="s">
        <v>10</v>
      </c>
      <c r="E1852" t="str">
        <f ca="1">IF(Table1[[#This Row],[is_smoker]]=0,"non-smoker","smoker")</f>
        <v>non-smoker</v>
      </c>
      <c r="F1852" t="s">
        <v>61</v>
      </c>
      <c r="G1852" s="2">
        <v>1.61788617886178</v>
      </c>
      <c r="H1852" s="2">
        <v>1610.00327956553</v>
      </c>
    </row>
    <row r="1853" spans="1:8" x14ac:dyDescent="0.3">
      <c r="A1853" t="s">
        <v>1921</v>
      </c>
      <c r="B1853" t="s">
        <v>106</v>
      </c>
      <c r="C1853">
        <v>49</v>
      </c>
      <c r="D1853" t="s">
        <v>10</v>
      </c>
      <c r="E1853" t="str">
        <f ca="1">IF(Table1[[#This Row],[is_smoker]]=0,"non-smoker","smoker")</f>
        <v>non-smoker</v>
      </c>
      <c r="F1853" t="s">
        <v>14</v>
      </c>
      <c r="G1853" s="2">
        <v>0.66666666666666596</v>
      </c>
      <c r="H1853" s="2">
        <v>591.92913648132003</v>
      </c>
    </row>
    <row r="1854" spans="1:8" x14ac:dyDescent="0.3">
      <c r="A1854" t="s">
        <v>1922</v>
      </c>
      <c r="B1854" t="s">
        <v>13</v>
      </c>
      <c r="C1854">
        <v>28</v>
      </c>
      <c r="D1854" t="s">
        <v>10</v>
      </c>
      <c r="E1854" t="str">
        <f ca="1">IF(Table1[[#This Row],[is_smoker]]=0,"non-smoker","smoker")</f>
        <v>non-smoker</v>
      </c>
      <c r="F1854" t="s">
        <v>48</v>
      </c>
      <c r="G1854" s="2">
        <v>0.46341463414634099</v>
      </c>
      <c r="H1854" s="2">
        <v>477.88440513530702</v>
      </c>
    </row>
    <row r="1855" spans="1:8" x14ac:dyDescent="0.3">
      <c r="A1855" t="s">
        <v>1923</v>
      </c>
      <c r="B1855" t="s">
        <v>92</v>
      </c>
      <c r="C1855">
        <v>52</v>
      </c>
      <c r="D1855" t="s">
        <v>10</v>
      </c>
      <c r="E1855" t="str">
        <f ca="1">IF(Table1[[#This Row],[is_smoker]]=0,"non-smoker","smoker")</f>
        <v>non-smoker</v>
      </c>
      <c r="F1855" t="s">
        <v>44</v>
      </c>
      <c r="G1855" s="2">
        <v>1.1341463414634101</v>
      </c>
      <c r="H1855" s="2">
        <v>985.701646331848</v>
      </c>
    </row>
    <row r="1856" spans="1:8" x14ac:dyDescent="0.3">
      <c r="A1856" t="s">
        <v>1924</v>
      </c>
      <c r="B1856" t="s">
        <v>245</v>
      </c>
      <c r="C1856">
        <v>29</v>
      </c>
      <c r="D1856" t="s">
        <v>10</v>
      </c>
      <c r="E1856" t="str">
        <f ca="1">IF(Table1[[#This Row],[is_smoker]]=0,"non-smoker","smoker")</f>
        <v>non-smoker</v>
      </c>
      <c r="F1856" t="s">
        <v>14</v>
      </c>
      <c r="G1856" s="2">
        <v>0.66666666666666596</v>
      </c>
      <c r="H1856" s="2">
        <v>682.60111193022396</v>
      </c>
    </row>
    <row r="1857" spans="1:8" x14ac:dyDescent="0.3">
      <c r="A1857" t="s">
        <v>1925</v>
      </c>
      <c r="B1857" t="s">
        <v>82</v>
      </c>
      <c r="C1857">
        <v>18</v>
      </c>
      <c r="D1857" t="s">
        <v>17</v>
      </c>
      <c r="E1857" t="str">
        <f ca="1">IF(Table1[[#This Row],[is_smoker]]=0,"non-smoker","smoker")</f>
        <v>non-smoker</v>
      </c>
      <c r="F1857" t="s">
        <v>44</v>
      </c>
      <c r="G1857" s="2">
        <v>1.1341463414634101</v>
      </c>
      <c r="H1857" s="2">
        <v>3615.4658673270201</v>
      </c>
    </row>
    <row r="1858" spans="1:8" x14ac:dyDescent="0.3">
      <c r="A1858" t="s">
        <v>1926</v>
      </c>
      <c r="B1858" t="s">
        <v>13</v>
      </c>
      <c r="C1858">
        <v>58</v>
      </c>
      <c r="D1858" t="s">
        <v>17</v>
      </c>
      <c r="E1858" t="str">
        <f ca="1">IF(Table1[[#This Row],[is_smoker]]=0,"non-smoker","smoker")</f>
        <v>non-smoker</v>
      </c>
      <c r="F1858" t="s">
        <v>27</v>
      </c>
      <c r="G1858" s="2">
        <v>0.53252032520325199</v>
      </c>
      <c r="H1858" s="2">
        <v>1276.5470046693399</v>
      </c>
    </row>
    <row r="1859" spans="1:8" x14ac:dyDescent="0.3">
      <c r="A1859" t="s">
        <v>1927</v>
      </c>
      <c r="B1859" t="s">
        <v>60</v>
      </c>
      <c r="C1859">
        <v>34</v>
      </c>
      <c r="D1859" t="s">
        <v>17</v>
      </c>
      <c r="E1859" t="str">
        <f ca="1">IF(Table1[[#This Row],[is_smoker]]=0,"non-smoker","smoker")</f>
        <v>non-smoker</v>
      </c>
      <c r="F1859" t="s">
        <v>44</v>
      </c>
      <c r="G1859" s="2">
        <v>1.1341463414634101</v>
      </c>
      <c r="H1859" s="2">
        <v>3225.8669191171698</v>
      </c>
    </row>
    <row r="1860" spans="1:8" x14ac:dyDescent="0.3">
      <c r="A1860" t="s">
        <v>1928</v>
      </c>
      <c r="B1860" t="s">
        <v>35</v>
      </c>
      <c r="C1860">
        <v>51</v>
      </c>
      <c r="D1860" t="s">
        <v>17</v>
      </c>
      <c r="E1860" t="str">
        <f ca="1">IF(Table1[[#This Row],[is_smoker]]=0,"non-smoker","smoker")</f>
        <v>non-smoker</v>
      </c>
      <c r="F1860" t="s">
        <v>48</v>
      </c>
      <c r="G1860" s="2">
        <v>0.46341463414634099</v>
      </c>
      <c r="H1860" s="2">
        <v>1167.70842155636</v>
      </c>
    </row>
    <row r="1861" spans="1:8" x14ac:dyDescent="0.3">
      <c r="A1861" t="s">
        <v>1929</v>
      </c>
      <c r="B1861" t="s">
        <v>50</v>
      </c>
      <c r="C1861">
        <v>38</v>
      </c>
      <c r="D1861" t="s">
        <v>10</v>
      </c>
      <c r="E1861" t="str">
        <f ca="1">IF(Table1[[#This Row],[is_smoker]]=0,"non-smoker","smoker")</f>
        <v>non-smoker</v>
      </c>
      <c r="F1861" t="s">
        <v>48</v>
      </c>
      <c r="G1861" s="2">
        <v>0.46341463414634099</v>
      </c>
      <c r="H1861" s="2">
        <v>445.01456109045802</v>
      </c>
    </row>
    <row r="1862" spans="1:8" x14ac:dyDescent="0.3">
      <c r="A1862" t="s">
        <v>1930</v>
      </c>
      <c r="B1862" t="s">
        <v>113</v>
      </c>
      <c r="C1862">
        <v>34</v>
      </c>
      <c r="D1862" t="s">
        <v>10</v>
      </c>
      <c r="E1862" t="str">
        <f ca="1">IF(Table1[[#This Row],[is_smoker]]=0,"non-smoker","smoker")</f>
        <v>non-smoker</v>
      </c>
      <c r="F1862" t="s">
        <v>61</v>
      </c>
      <c r="G1862" s="2">
        <v>1.61788617886178</v>
      </c>
      <c r="H1862" s="2">
        <v>1598.5708782517199</v>
      </c>
    </row>
    <row r="1863" spans="1:8" x14ac:dyDescent="0.3">
      <c r="A1863" t="s">
        <v>1931</v>
      </c>
      <c r="B1863" t="s">
        <v>82</v>
      </c>
      <c r="C1863">
        <v>22</v>
      </c>
      <c r="D1863" t="s">
        <v>17</v>
      </c>
      <c r="E1863" t="str">
        <f ca="1">IF(Table1[[#This Row],[is_smoker]]=0,"non-smoker","smoker")</f>
        <v>non-smoker</v>
      </c>
      <c r="F1863" t="s">
        <v>11</v>
      </c>
      <c r="G1863" s="2">
        <v>1.1544715447154399</v>
      </c>
      <c r="H1863" s="2">
        <v>3576.8353404562999</v>
      </c>
    </row>
    <row r="1864" spans="1:8" x14ac:dyDescent="0.3">
      <c r="A1864" t="s">
        <v>1932</v>
      </c>
      <c r="B1864" t="s">
        <v>265</v>
      </c>
      <c r="C1864">
        <v>53</v>
      </c>
      <c r="D1864" t="s">
        <v>10</v>
      </c>
      <c r="E1864" t="str">
        <f ca="1">IF(Table1[[#This Row],[is_smoker]]=0,"non-smoker","smoker")</f>
        <v>non-smoker</v>
      </c>
      <c r="F1864" t="s">
        <v>27</v>
      </c>
      <c r="G1864" s="2">
        <v>0.53252032520325199</v>
      </c>
      <c r="H1864" s="2">
        <v>459.53406468215002</v>
      </c>
    </row>
    <row r="1865" spans="1:8" x14ac:dyDescent="0.3">
      <c r="A1865" t="s">
        <v>1933</v>
      </c>
      <c r="B1865" t="s">
        <v>60</v>
      </c>
      <c r="C1865">
        <v>47</v>
      </c>
      <c r="D1865" t="s">
        <v>10</v>
      </c>
      <c r="E1865" t="str">
        <f ca="1">IF(Table1[[#This Row],[is_smoker]]=0,"non-smoker","smoker")</f>
        <v>non-smoker</v>
      </c>
      <c r="F1865" t="s">
        <v>56</v>
      </c>
      <c r="G1865" s="2">
        <v>0.19512195121951201</v>
      </c>
      <c r="H1865" s="2">
        <v>175.73442083668601</v>
      </c>
    </row>
    <row r="1866" spans="1:8" x14ac:dyDescent="0.3">
      <c r="A1866" t="s">
        <v>1934</v>
      </c>
      <c r="B1866" t="s">
        <v>192</v>
      </c>
      <c r="C1866">
        <v>55</v>
      </c>
      <c r="D1866" t="s">
        <v>10</v>
      </c>
      <c r="E1866" t="str">
        <f ca="1">IF(Table1[[#This Row],[is_smoker]]=0,"non-smoker","smoker")</f>
        <v>non-smoker</v>
      </c>
      <c r="F1866" t="s">
        <v>2004</v>
      </c>
      <c r="G1866" s="2">
        <v>1.2073170731707299</v>
      </c>
      <c r="H1866" s="2">
        <v>1027.1009641954799</v>
      </c>
    </row>
    <row r="1867" spans="1:8" x14ac:dyDescent="0.3">
      <c r="A1867" t="s">
        <v>1935</v>
      </c>
      <c r="B1867" t="s">
        <v>201</v>
      </c>
      <c r="C1867">
        <v>43</v>
      </c>
      <c r="D1867" t="s">
        <v>17</v>
      </c>
      <c r="E1867" t="str">
        <f ca="1">IF(Table1[[#This Row],[is_smoker]]=0,"non-smoker","smoker")</f>
        <v>non-smoker</v>
      </c>
      <c r="F1867" t="s">
        <v>44</v>
      </c>
      <c r="G1867" s="2">
        <v>1.1341463414634101</v>
      </c>
      <c r="H1867" s="2">
        <v>3025.4687659616102</v>
      </c>
    </row>
    <row r="1868" spans="1:8" x14ac:dyDescent="0.3">
      <c r="A1868" t="s">
        <v>1936</v>
      </c>
      <c r="B1868" t="s">
        <v>192</v>
      </c>
      <c r="C1868">
        <v>25</v>
      </c>
      <c r="D1868" t="s">
        <v>10</v>
      </c>
      <c r="E1868" t="str">
        <f ca="1">IF(Table1[[#This Row],[is_smoker]]=0,"non-smoker","smoker")</f>
        <v>non-smoker</v>
      </c>
      <c r="F1868" t="s">
        <v>11</v>
      </c>
      <c r="G1868" s="2">
        <v>1.1544715447154399</v>
      </c>
      <c r="H1868" s="2">
        <v>1216.2446365830499</v>
      </c>
    </row>
    <row r="1869" spans="1:8" x14ac:dyDescent="0.3">
      <c r="A1869" t="s">
        <v>1937</v>
      </c>
      <c r="B1869" t="s">
        <v>13</v>
      </c>
      <c r="C1869">
        <v>25</v>
      </c>
      <c r="D1869" t="s">
        <v>10</v>
      </c>
      <c r="E1869" t="str">
        <f ca="1">IF(Table1[[#This Row],[is_smoker]]=0,"non-smoker","smoker")</f>
        <v>non-smoker</v>
      </c>
      <c r="F1869" t="s">
        <v>61</v>
      </c>
      <c r="G1869" s="2">
        <v>1.61788617886178</v>
      </c>
      <c r="H1869" s="2">
        <v>1704.45551183118</v>
      </c>
    </row>
    <row r="1870" spans="1:8" x14ac:dyDescent="0.3">
      <c r="A1870" t="s">
        <v>1938</v>
      </c>
      <c r="B1870" t="s">
        <v>50</v>
      </c>
      <c r="C1870">
        <v>46</v>
      </c>
      <c r="D1870" t="s">
        <v>17</v>
      </c>
      <c r="E1870" t="str">
        <f ca="1">IF(Table1[[#This Row],[is_smoker]]=0,"non-smoker","smoker")</f>
        <v>non-smoker</v>
      </c>
      <c r="F1870" t="s">
        <v>19</v>
      </c>
      <c r="G1870" s="2">
        <v>1.11788617886178</v>
      </c>
      <c r="H1870" s="2">
        <v>2919.0166572155799</v>
      </c>
    </row>
    <row r="1871" spans="1:8" x14ac:dyDescent="0.3">
      <c r="A1871" t="s">
        <v>1939</v>
      </c>
      <c r="B1871" t="s">
        <v>31</v>
      </c>
      <c r="C1871">
        <v>39</v>
      </c>
      <c r="D1871" t="s">
        <v>17</v>
      </c>
      <c r="E1871" t="str">
        <f ca="1">IF(Table1[[#This Row],[is_smoker]]=0,"non-smoker","smoker")</f>
        <v>non-smoker</v>
      </c>
      <c r="F1871" t="s">
        <v>56</v>
      </c>
      <c r="G1871" s="2">
        <v>0.19512195121951201</v>
      </c>
      <c r="H1871" s="2">
        <v>535.56126980989802</v>
      </c>
    </row>
    <row r="1872" spans="1:8" x14ac:dyDescent="0.3">
      <c r="A1872" t="s">
        <v>1940</v>
      </c>
      <c r="B1872" t="s">
        <v>175</v>
      </c>
      <c r="C1872">
        <v>22</v>
      </c>
      <c r="D1872" t="s">
        <v>17</v>
      </c>
      <c r="E1872" t="str">
        <f ca="1">IF(Table1[[#This Row],[is_smoker]]=0,"non-smoker","smoker")</f>
        <v>non-smoker</v>
      </c>
      <c r="F1872" t="s">
        <v>24</v>
      </c>
      <c r="G1872" s="2">
        <v>1.70325203252032</v>
      </c>
      <c r="H1872" s="2">
        <v>5277.0915762365903</v>
      </c>
    </row>
    <row r="1873" spans="1:8" x14ac:dyDescent="0.3">
      <c r="A1873" t="s">
        <v>1941</v>
      </c>
      <c r="B1873" t="s">
        <v>16</v>
      </c>
      <c r="C1873">
        <v>35</v>
      </c>
      <c r="D1873" t="s">
        <v>17</v>
      </c>
      <c r="E1873" t="str">
        <f ca="1">IF(Table1[[#This Row],[is_smoker]]=0,"non-smoker","smoker")</f>
        <v>non-smoker</v>
      </c>
      <c r="F1873" t="s">
        <v>11</v>
      </c>
      <c r="G1873" s="2">
        <v>1.1544715447154399</v>
      </c>
      <c r="H1873" s="2">
        <v>3260.3612287764299</v>
      </c>
    </row>
    <row r="1874" spans="1:8" x14ac:dyDescent="0.3">
      <c r="A1874" t="s">
        <v>1942</v>
      </c>
      <c r="B1874" t="s">
        <v>82</v>
      </c>
      <c r="C1874">
        <v>41</v>
      </c>
      <c r="D1874" t="s">
        <v>17</v>
      </c>
      <c r="E1874" t="str">
        <f ca="1">IF(Table1[[#This Row],[is_smoker]]=0,"non-smoker","smoker")</f>
        <v>non-smoker</v>
      </c>
      <c r="F1874" t="s">
        <v>19</v>
      </c>
      <c r="G1874" s="2">
        <v>1.11788617886178</v>
      </c>
      <c r="H1874" s="2">
        <v>3024.89909298972</v>
      </c>
    </row>
    <row r="1875" spans="1:8" x14ac:dyDescent="0.3">
      <c r="A1875" t="s">
        <v>1943</v>
      </c>
      <c r="B1875" t="s">
        <v>13</v>
      </c>
      <c r="C1875">
        <v>59</v>
      </c>
      <c r="D1875" t="s">
        <v>17</v>
      </c>
      <c r="E1875" t="str">
        <f ca="1">IF(Table1[[#This Row],[is_smoker]]=0,"non-smoker","smoker")</f>
        <v>non-smoker</v>
      </c>
      <c r="F1875" t="s">
        <v>27</v>
      </c>
      <c r="G1875" s="2">
        <v>0.53252032520325199</v>
      </c>
      <c r="H1875" s="2">
        <v>1267.4824283181299</v>
      </c>
    </row>
    <row r="1876" spans="1:8" x14ac:dyDescent="0.3">
      <c r="A1876" t="s">
        <v>1944</v>
      </c>
      <c r="B1876" t="s">
        <v>29</v>
      </c>
      <c r="C1876">
        <v>59</v>
      </c>
      <c r="D1876" t="s">
        <v>10</v>
      </c>
      <c r="E1876" t="str">
        <f ca="1">IF(Table1[[#This Row],[is_smoker]]=0,"non-smoker","smoker")</f>
        <v>non-smoker</v>
      </c>
      <c r="F1876" t="s">
        <v>61</v>
      </c>
      <c r="G1876" s="2">
        <v>1.61788617886178</v>
      </c>
      <c r="H1876" s="2">
        <v>1337.7048601214101</v>
      </c>
    </row>
    <row r="1877" spans="1:8" x14ac:dyDescent="0.3">
      <c r="A1877" t="s">
        <v>1945</v>
      </c>
      <c r="B1877" t="s">
        <v>92</v>
      </c>
      <c r="C1877">
        <v>48</v>
      </c>
      <c r="D1877" t="s">
        <v>10</v>
      </c>
      <c r="E1877" t="str">
        <f ca="1">IF(Table1[[#This Row],[is_smoker]]=0,"non-smoker","smoker")</f>
        <v>non-smoker</v>
      </c>
      <c r="F1877" t="s">
        <v>56</v>
      </c>
      <c r="G1877" s="2">
        <v>0.19512195121951201</v>
      </c>
      <c r="H1877" s="2">
        <v>174.48655603469899</v>
      </c>
    </row>
    <row r="1878" spans="1:8" x14ac:dyDescent="0.3">
      <c r="A1878" t="s">
        <v>1946</v>
      </c>
      <c r="B1878" t="s">
        <v>229</v>
      </c>
      <c r="C1878">
        <v>58</v>
      </c>
      <c r="D1878" t="s">
        <v>10</v>
      </c>
      <c r="E1878" t="str">
        <f ca="1">IF(Table1[[#This Row],[is_smoker]]=0,"non-smoker","smoker")</f>
        <v>non-smoker</v>
      </c>
      <c r="F1878" t="s">
        <v>56</v>
      </c>
      <c r="G1878" s="2">
        <v>0.19512195121951201</v>
      </c>
      <c r="H1878" s="2">
        <v>162.485022142502</v>
      </c>
    </row>
    <row r="1879" spans="1:8" x14ac:dyDescent="0.3">
      <c r="A1879" t="s">
        <v>1947</v>
      </c>
      <c r="B1879" t="s">
        <v>113</v>
      </c>
      <c r="C1879">
        <v>49</v>
      </c>
      <c r="D1879" t="s">
        <v>17</v>
      </c>
      <c r="E1879" t="str">
        <f ca="1">IF(Table1[[#This Row],[is_smoker]]=0,"non-smoker","smoker")</f>
        <v>non-smoker</v>
      </c>
      <c r="F1879" t="s">
        <v>56</v>
      </c>
      <c r="G1879" s="2">
        <v>0.19512195121951201</v>
      </c>
      <c r="H1879" s="2">
        <v>498.72429579286802</v>
      </c>
    </row>
    <row r="1880" spans="1:8" x14ac:dyDescent="0.3">
      <c r="A1880" t="s">
        <v>1948</v>
      </c>
      <c r="B1880" t="s">
        <v>46</v>
      </c>
      <c r="C1880">
        <v>43</v>
      </c>
      <c r="D1880" t="s">
        <v>17</v>
      </c>
      <c r="E1880" t="str">
        <f ca="1">IF(Table1[[#This Row],[is_smoker]]=0,"non-smoker","smoker")</f>
        <v>non-smoker</v>
      </c>
      <c r="F1880" t="s">
        <v>27</v>
      </c>
      <c r="G1880" s="2">
        <v>0.53252032520325199</v>
      </c>
      <c r="H1880" s="2">
        <v>1420.5606033726499</v>
      </c>
    </row>
    <row r="1881" spans="1:8" x14ac:dyDescent="0.3">
      <c r="A1881" t="s">
        <v>1949</v>
      </c>
      <c r="B1881" t="s">
        <v>50</v>
      </c>
      <c r="C1881">
        <v>59</v>
      </c>
      <c r="D1881" t="s">
        <v>10</v>
      </c>
      <c r="E1881" t="str">
        <f ca="1">IF(Table1[[#This Row],[is_smoker]]=0,"non-smoker","smoker")</f>
        <v>non-smoker</v>
      </c>
      <c r="F1881" t="s">
        <v>44</v>
      </c>
      <c r="G1881" s="2">
        <v>1.1341463414634101</v>
      </c>
      <c r="H1881" s="2">
        <v>937.737829080084</v>
      </c>
    </row>
    <row r="1882" spans="1:8" x14ac:dyDescent="0.3">
      <c r="A1882" t="s">
        <v>1950</v>
      </c>
      <c r="B1882" t="s">
        <v>92</v>
      </c>
      <c r="C1882">
        <v>25</v>
      </c>
      <c r="D1882" t="s">
        <v>10</v>
      </c>
      <c r="E1882" t="str">
        <f ca="1">IF(Table1[[#This Row],[is_smoker]]=0,"non-smoker","smoker")</f>
        <v>non-smoker</v>
      </c>
      <c r="F1882" t="s">
        <v>24</v>
      </c>
      <c r="G1882" s="2">
        <v>1.70325203252032</v>
      </c>
      <c r="H1882" s="2">
        <v>1794.3890941137299</v>
      </c>
    </row>
    <row r="1883" spans="1:8" x14ac:dyDescent="0.3">
      <c r="A1883" t="s">
        <v>1951</v>
      </c>
      <c r="B1883" t="s">
        <v>82</v>
      </c>
      <c r="C1883">
        <v>48</v>
      </c>
      <c r="D1883" t="s">
        <v>10</v>
      </c>
      <c r="E1883" t="str">
        <f ca="1">IF(Table1[[#This Row],[is_smoker]]=0,"non-smoker","smoker")</f>
        <v>non-smoker</v>
      </c>
      <c r="F1883" t="s">
        <v>27</v>
      </c>
      <c r="G1883" s="2">
        <v>0.53252032520325199</v>
      </c>
      <c r="H1883" s="2">
        <v>476.20289251136597</v>
      </c>
    </row>
    <row r="1884" spans="1:8" x14ac:dyDescent="0.3">
      <c r="A1884" t="s">
        <v>1952</v>
      </c>
      <c r="B1884" t="s">
        <v>43</v>
      </c>
      <c r="C1884">
        <v>29</v>
      </c>
      <c r="D1884" t="s">
        <v>17</v>
      </c>
      <c r="E1884" t="str">
        <f ca="1">IF(Table1[[#This Row],[is_smoker]]=0,"non-smoker","smoker")</f>
        <v>non-smoker</v>
      </c>
      <c r="F1884" t="s">
        <v>2004</v>
      </c>
      <c r="G1884" s="2">
        <v>1.2073170731707299</v>
      </c>
      <c r="H1884" s="2">
        <v>3558.54950042779</v>
      </c>
    </row>
    <row r="1885" spans="1:8" x14ac:dyDescent="0.3">
      <c r="A1885" t="s">
        <v>1953</v>
      </c>
      <c r="B1885" t="s">
        <v>50</v>
      </c>
      <c r="C1885">
        <v>24</v>
      </c>
      <c r="D1885" t="s">
        <v>17</v>
      </c>
      <c r="E1885" t="str">
        <f ca="1">IF(Table1[[#This Row],[is_smoker]]=0,"non-smoker","smoker")</f>
        <v>non-smoker</v>
      </c>
      <c r="F1885" t="s">
        <v>24</v>
      </c>
      <c r="G1885" s="2">
        <v>1.70325203252032</v>
      </c>
      <c r="H1885" s="2">
        <v>5202.4139246792402</v>
      </c>
    </row>
    <row r="1886" spans="1:8" x14ac:dyDescent="0.3">
      <c r="A1886" t="s">
        <v>1954</v>
      </c>
      <c r="B1886" t="s">
        <v>9</v>
      </c>
      <c r="C1886">
        <v>30</v>
      </c>
      <c r="D1886" t="s">
        <v>17</v>
      </c>
      <c r="E1886" t="str">
        <f ca="1">IF(Table1[[#This Row],[is_smoker]]=0,"non-smoker","smoker")</f>
        <v>non-smoker</v>
      </c>
      <c r="F1886" t="s">
        <v>48</v>
      </c>
      <c r="G1886" s="2">
        <v>0.46341463414634099</v>
      </c>
      <c r="H1886" s="2">
        <v>1356.2087739372801</v>
      </c>
    </row>
    <row r="1887" spans="1:8" x14ac:dyDescent="0.3">
      <c r="A1887" t="s">
        <v>1955</v>
      </c>
      <c r="B1887" t="s">
        <v>192</v>
      </c>
      <c r="C1887">
        <v>39</v>
      </c>
      <c r="D1887" t="s">
        <v>10</v>
      </c>
      <c r="E1887" t="str">
        <f ca="1">IF(Table1[[#This Row],[is_smoker]]=0,"non-smoker","smoker")</f>
        <v>non-smoker</v>
      </c>
      <c r="F1887" t="s">
        <v>61</v>
      </c>
      <c r="G1887" s="2">
        <v>1.61788617886178</v>
      </c>
      <c r="H1887" s="2">
        <v>1542.61510149898</v>
      </c>
    </row>
    <row r="1888" spans="1:8" x14ac:dyDescent="0.3">
      <c r="A1888" t="s">
        <v>1956</v>
      </c>
      <c r="B1888" t="s">
        <v>13</v>
      </c>
      <c r="C1888">
        <v>29</v>
      </c>
      <c r="D1888" t="s">
        <v>17</v>
      </c>
      <c r="E1888" t="str">
        <f ca="1">IF(Table1[[#This Row],[is_smoker]]=0,"non-smoker","smoker")</f>
        <v>non-smoker</v>
      </c>
      <c r="F1888" t="s">
        <v>27</v>
      </c>
      <c r="G1888" s="2">
        <v>0.53252032520325199</v>
      </c>
      <c r="H1888" s="2">
        <v>1569.59590759609</v>
      </c>
    </row>
    <row r="1889" spans="1:8" x14ac:dyDescent="0.3">
      <c r="A1889" t="s">
        <v>1957</v>
      </c>
      <c r="B1889" t="s">
        <v>16</v>
      </c>
      <c r="C1889">
        <v>59</v>
      </c>
      <c r="D1889" t="s">
        <v>17</v>
      </c>
      <c r="E1889" t="str">
        <f ca="1">IF(Table1[[#This Row],[is_smoker]]=0,"non-smoker","smoker")</f>
        <v>non-smoker</v>
      </c>
      <c r="F1889" t="s">
        <v>19</v>
      </c>
      <c r="G1889" s="2">
        <v>1.11788617886178</v>
      </c>
      <c r="H1889" s="2">
        <v>2660.74555562967</v>
      </c>
    </row>
    <row r="1890" spans="1:8" x14ac:dyDescent="0.3">
      <c r="A1890" t="s">
        <v>1958</v>
      </c>
      <c r="B1890" t="s">
        <v>245</v>
      </c>
      <c r="C1890">
        <v>50</v>
      </c>
      <c r="D1890" t="s">
        <v>10</v>
      </c>
      <c r="E1890" t="str">
        <f ca="1">IF(Table1[[#This Row],[is_smoker]]=0,"non-smoker","smoker")</f>
        <v>non-smoker</v>
      </c>
      <c r="F1890" t="s">
        <v>24</v>
      </c>
      <c r="G1890" s="2">
        <v>1.70325203252032</v>
      </c>
      <c r="H1890" s="2">
        <v>1501.56808484459</v>
      </c>
    </row>
    <row r="1891" spans="1:8" x14ac:dyDescent="0.3">
      <c r="A1891" t="s">
        <v>1959</v>
      </c>
      <c r="B1891" t="s">
        <v>50</v>
      </c>
      <c r="C1891">
        <v>57</v>
      </c>
      <c r="D1891" t="s">
        <v>17</v>
      </c>
      <c r="E1891" t="str">
        <f ca="1">IF(Table1[[#This Row],[is_smoker]]=0,"non-smoker","smoker")</f>
        <v>non-smoker</v>
      </c>
      <c r="F1891" t="s">
        <v>2004</v>
      </c>
      <c r="G1891" s="2">
        <v>1.2073170731707299</v>
      </c>
      <c r="H1891" s="2">
        <v>2914.85414546422</v>
      </c>
    </row>
    <row r="1892" spans="1:8" x14ac:dyDescent="0.3">
      <c r="A1892" t="s">
        <v>1960</v>
      </c>
      <c r="B1892" t="s">
        <v>13</v>
      </c>
      <c r="C1892">
        <v>51</v>
      </c>
      <c r="D1892" t="s">
        <v>10</v>
      </c>
      <c r="E1892" t="str">
        <f ca="1">IF(Table1[[#This Row],[is_smoker]]=0,"non-smoker","smoker")</f>
        <v>non-smoker</v>
      </c>
      <c r="F1892" t="s">
        <v>48</v>
      </c>
      <c r="G1892" s="2">
        <v>0.46341463414634099</v>
      </c>
      <c r="H1892" s="2">
        <v>405.64020513038002</v>
      </c>
    </row>
    <row r="1893" spans="1:8" x14ac:dyDescent="0.3">
      <c r="A1893" t="s">
        <v>1961</v>
      </c>
      <c r="B1893" t="s">
        <v>29</v>
      </c>
      <c r="C1893">
        <v>29</v>
      </c>
      <c r="D1893" t="s">
        <v>17</v>
      </c>
      <c r="E1893" t="str">
        <f ca="1">IF(Table1[[#This Row],[is_smoker]]=0,"non-smoker","smoker")</f>
        <v>non-smoker</v>
      </c>
      <c r="F1893" t="s">
        <v>44</v>
      </c>
      <c r="G1893" s="2">
        <v>1.1341463414634101</v>
      </c>
      <c r="H1893" s="2">
        <v>3342.8798337352</v>
      </c>
    </row>
    <row r="1894" spans="1:8" x14ac:dyDescent="0.3">
      <c r="A1894" t="s">
        <v>1962</v>
      </c>
      <c r="B1894" t="s">
        <v>33</v>
      </c>
      <c r="C1894">
        <v>35</v>
      </c>
      <c r="D1894" t="s">
        <v>17</v>
      </c>
      <c r="E1894" t="str">
        <f ca="1">IF(Table1[[#This Row],[is_smoker]]=0,"non-smoker","smoker")</f>
        <v>non-smoker</v>
      </c>
      <c r="F1894" t="s">
        <v>19</v>
      </c>
      <c r="G1894" s="2">
        <v>1.11788617886178</v>
      </c>
      <c r="H1894" s="2">
        <v>3157.0399222307001</v>
      </c>
    </row>
    <row r="1895" spans="1:8" x14ac:dyDescent="0.3">
      <c r="A1895" t="s">
        <v>1963</v>
      </c>
      <c r="B1895" t="s">
        <v>157</v>
      </c>
      <c r="C1895">
        <v>18</v>
      </c>
      <c r="D1895" t="s">
        <v>10</v>
      </c>
      <c r="E1895" t="str">
        <f ca="1">IF(Table1[[#This Row],[is_smoker]]=0,"non-smoker","smoker")</f>
        <v>non-smoker</v>
      </c>
      <c r="F1895" t="s">
        <v>24</v>
      </c>
      <c r="G1895" s="2">
        <v>1.70325203252032</v>
      </c>
      <c r="H1895" s="2">
        <v>1886.16927821173</v>
      </c>
    </row>
    <row r="1896" spans="1:8" x14ac:dyDescent="0.3">
      <c r="A1896" t="s">
        <v>1964</v>
      </c>
      <c r="B1896" t="s">
        <v>16</v>
      </c>
      <c r="C1896">
        <v>58</v>
      </c>
      <c r="D1896" t="s">
        <v>10</v>
      </c>
      <c r="E1896" t="str">
        <f ca="1">IF(Table1[[#This Row],[is_smoker]]=0,"non-smoker","smoker")</f>
        <v>non-smoker</v>
      </c>
      <c r="F1896" t="s">
        <v>61</v>
      </c>
      <c r="G1896" s="2">
        <v>1.61788617886178</v>
      </c>
      <c r="H1896" s="2">
        <v>1347.27164193158</v>
      </c>
    </row>
    <row r="1897" spans="1:8" x14ac:dyDescent="0.3">
      <c r="A1897" t="s">
        <v>1965</v>
      </c>
      <c r="B1897" t="s">
        <v>13</v>
      </c>
      <c r="C1897">
        <v>45</v>
      </c>
      <c r="D1897" t="s">
        <v>10</v>
      </c>
      <c r="E1897" t="str">
        <f ca="1">IF(Table1[[#This Row],[is_smoker]]=0,"non-smoker","smoker")</f>
        <v>non-smoker</v>
      </c>
      <c r="F1897" t="s">
        <v>19</v>
      </c>
      <c r="G1897" s="2">
        <v>1.11788617886178</v>
      </c>
      <c r="H1897" s="2">
        <v>1021.26398858459</v>
      </c>
    </row>
    <row r="1898" spans="1:8" x14ac:dyDescent="0.3">
      <c r="A1898" t="s">
        <v>1966</v>
      </c>
      <c r="B1898" t="s">
        <v>113</v>
      </c>
      <c r="C1898">
        <v>21</v>
      </c>
      <c r="D1898" t="s">
        <v>10</v>
      </c>
      <c r="E1898" t="str">
        <f ca="1">IF(Table1[[#This Row],[is_smoker]]=0,"non-smoker","smoker")</f>
        <v>smoker</v>
      </c>
      <c r="F1898" t="s">
        <v>48</v>
      </c>
      <c r="G1898" s="2">
        <v>0.46341463414634099</v>
      </c>
      <c r="H1898" s="2">
        <v>539.454122350543</v>
      </c>
    </row>
    <row r="1899" spans="1:8" x14ac:dyDescent="0.3">
      <c r="A1899" t="s">
        <v>1967</v>
      </c>
      <c r="B1899" t="s">
        <v>29</v>
      </c>
      <c r="C1899">
        <v>33</v>
      </c>
      <c r="D1899" t="s">
        <v>10</v>
      </c>
      <c r="E1899" t="str">
        <f ca="1">IF(Table1[[#This Row],[is_smoker]]=0,"non-smoker","smoker")</f>
        <v>non-smoker</v>
      </c>
      <c r="F1899" t="s">
        <v>19</v>
      </c>
      <c r="G1899" s="2">
        <v>1.11788617886178</v>
      </c>
      <c r="H1899" s="2">
        <v>1112.4394519611001</v>
      </c>
    </row>
    <row r="1900" spans="1:8" x14ac:dyDescent="0.3">
      <c r="A1900" t="s">
        <v>1968</v>
      </c>
      <c r="B1900" t="s">
        <v>31</v>
      </c>
      <c r="C1900">
        <v>50</v>
      </c>
      <c r="D1900" t="s">
        <v>17</v>
      </c>
      <c r="E1900" t="str">
        <f ca="1">IF(Table1[[#This Row],[is_smoker]]=0,"non-smoker","smoker")</f>
        <v>non-smoker</v>
      </c>
      <c r="F1900" t="s">
        <v>14</v>
      </c>
      <c r="G1900" s="2">
        <v>0.66666666666666596</v>
      </c>
      <c r="H1900" s="2">
        <v>1691.87499862293</v>
      </c>
    </row>
    <row r="1901" spans="1:8" x14ac:dyDescent="0.3">
      <c r="A1901" t="s">
        <v>1969</v>
      </c>
      <c r="B1901" t="s">
        <v>166</v>
      </c>
      <c r="C1901">
        <v>22</v>
      </c>
      <c r="D1901" t="s">
        <v>17</v>
      </c>
      <c r="E1901" t="str">
        <f ca="1">IF(Table1[[#This Row],[is_smoker]]=0,"non-smoker","smoker")</f>
        <v>non-smoker</v>
      </c>
      <c r="F1901" t="s">
        <v>11</v>
      </c>
      <c r="G1901" s="2">
        <v>1.1544715447154399</v>
      </c>
      <c r="H1901" s="2">
        <v>3576.8353404562999</v>
      </c>
    </row>
    <row r="1902" spans="1:8" x14ac:dyDescent="0.3">
      <c r="A1902" t="s">
        <v>1970</v>
      </c>
      <c r="B1902" t="s">
        <v>43</v>
      </c>
      <c r="C1902">
        <v>38</v>
      </c>
      <c r="D1902" t="s">
        <v>17</v>
      </c>
      <c r="E1902" t="str">
        <f ca="1">IF(Table1[[#This Row],[is_smoker]]=0,"non-smoker","smoker")</f>
        <v>non-smoker</v>
      </c>
      <c r="F1902" t="s">
        <v>44</v>
      </c>
      <c r="G1902" s="2">
        <v>1.1341463414634101</v>
      </c>
      <c r="H1902" s="2">
        <v>3135.2125735232198</v>
      </c>
    </row>
    <row r="1903" spans="1:8" x14ac:dyDescent="0.3">
      <c r="A1903" t="s">
        <v>1971</v>
      </c>
      <c r="B1903" t="s">
        <v>50</v>
      </c>
      <c r="C1903">
        <v>32</v>
      </c>
      <c r="D1903" t="s">
        <v>10</v>
      </c>
      <c r="E1903" t="str">
        <f ca="1">IF(Table1[[#This Row],[is_smoker]]=0,"non-smoker","smoker")</f>
        <v>non-smoker</v>
      </c>
      <c r="F1903" t="s">
        <v>48</v>
      </c>
      <c r="G1903" s="2">
        <v>0.46341463414634099</v>
      </c>
      <c r="H1903" s="2">
        <v>464.45474448800599</v>
      </c>
    </row>
    <row r="1904" spans="1:8" x14ac:dyDescent="0.3">
      <c r="A1904" t="s">
        <v>1972</v>
      </c>
      <c r="B1904" t="s">
        <v>254</v>
      </c>
      <c r="C1904">
        <v>56</v>
      </c>
      <c r="D1904" t="s">
        <v>17</v>
      </c>
      <c r="E1904" t="str">
        <f ca="1">IF(Table1[[#This Row],[is_smoker]]=0,"non-smoker","smoker")</f>
        <v>non-smoker</v>
      </c>
      <c r="F1904" t="s">
        <v>19</v>
      </c>
      <c r="G1904" s="2">
        <v>1.11788617886178</v>
      </c>
      <c r="H1904" s="2">
        <v>2718.2408602740002</v>
      </c>
    </row>
    <row r="1905" spans="1:8" x14ac:dyDescent="0.3">
      <c r="A1905" t="s">
        <v>1973</v>
      </c>
      <c r="B1905" t="s">
        <v>23</v>
      </c>
      <c r="C1905">
        <v>44</v>
      </c>
      <c r="D1905" t="s">
        <v>17</v>
      </c>
      <c r="E1905" t="str">
        <f ca="1">IF(Table1[[#This Row],[is_smoker]]=0,"non-smoker","smoker")</f>
        <v>non-smoker</v>
      </c>
      <c r="F1905" t="s">
        <v>11</v>
      </c>
      <c r="G1905" s="2">
        <v>1.1544715447154399</v>
      </c>
      <c r="H1905" s="2">
        <v>3057.8202110441698</v>
      </c>
    </row>
    <row r="1906" spans="1:8" x14ac:dyDescent="0.3">
      <c r="A1906" t="s">
        <v>1974</v>
      </c>
      <c r="B1906" t="s">
        <v>60</v>
      </c>
      <c r="C1906">
        <v>28</v>
      </c>
      <c r="D1906" t="s">
        <v>17</v>
      </c>
      <c r="E1906" t="str">
        <f ca="1">IF(Table1[[#This Row],[is_smoker]]=0,"non-smoker","smoker")</f>
        <v>non-smoker</v>
      </c>
      <c r="F1906" t="s">
        <v>11</v>
      </c>
      <c r="G1906" s="2">
        <v>1.1544715447154399</v>
      </c>
      <c r="H1906" s="2">
        <v>3427.1235852712898</v>
      </c>
    </row>
    <row r="1907" spans="1:8" x14ac:dyDescent="0.3">
      <c r="A1907" t="s">
        <v>1975</v>
      </c>
      <c r="B1907" t="s">
        <v>82</v>
      </c>
      <c r="C1907">
        <v>42</v>
      </c>
      <c r="D1907" t="s">
        <v>10</v>
      </c>
      <c r="E1907" t="str">
        <f ca="1">IF(Table1[[#This Row],[is_smoker]]=0,"non-smoker","smoker")</f>
        <v>non-smoker</v>
      </c>
      <c r="F1907" t="s">
        <v>19</v>
      </c>
      <c r="G1907" s="2">
        <v>1.11788617886178</v>
      </c>
      <c r="H1907" s="2">
        <v>1043.33219575371</v>
      </c>
    </row>
    <row r="1908" spans="1:8" x14ac:dyDescent="0.3">
      <c r="A1908" t="s">
        <v>1976</v>
      </c>
      <c r="B1908" t="s">
        <v>13</v>
      </c>
      <c r="C1908">
        <v>54</v>
      </c>
      <c r="D1908" t="s">
        <v>10</v>
      </c>
      <c r="E1908" t="str">
        <f ca="1">IF(Table1[[#This Row],[is_smoker]]=0,"non-smoker","smoker")</f>
        <v>non-smoker</v>
      </c>
      <c r="F1908" t="s">
        <v>61</v>
      </c>
      <c r="G1908" s="2">
        <v>1.61788617886178</v>
      </c>
      <c r="H1908" s="2">
        <v>1386.2278613815899</v>
      </c>
    </row>
    <row r="1909" spans="1:8" x14ac:dyDescent="0.3">
      <c r="A1909" t="s">
        <v>1977</v>
      </c>
      <c r="B1909" t="s">
        <v>13</v>
      </c>
      <c r="C1909">
        <v>60</v>
      </c>
      <c r="D1909" t="s">
        <v>10</v>
      </c>
      <c r="E1909" t="str">
        <f ca="1">IF(Table1[[#This Row],[is_smoker]]=0,"non-smoker","smoker")</f>
        <v>non-smoker</v>
      </c>
      <c r="F1909" t="s">
        <v>14</v>
      </c>
      <c r="G1909" s="2">
        <v>0.66666666666666596</v>
      </c>
      <c r="H1909" s="2">
        <v>547.30096921275106</v>
      </c>
    </row>
    <row r="1910" spans="1:8" x14ac:dyDescent="0.3">
      <c r="A1910" t="s">
        <v>1978</v>
      </c>
      <c r="B1910" t="s">
        <v>229</v>
      </c>
      <c r="C1910">
        <v>34</v>
      </c>
      <c r="D1910" t="s">
        <v>10</v>
      </c>
      <c r="E1910" t="str">
        <f ca="1">IF(Table1[[#This Row],[is_smoker]]=0,"non-smoker","smoker")</f>
        <v>non-smoker</v>
      </c>
      <c r="F1910" t="s">
        <v>27</v>
      </c>
      <c r="G1910" s="2">
        <v>0.53252032520325199</v>
      </c>
      <c r="H1910" s="2">
        <v>526.16277650999098</v>
      </c>
    </row>
    <row r="1911" spans="1:8" x14ac:dyDescent="0.3">
      <c r="A1911" t="s">
        <v>1979</v>
      </c>
      <c r="B1911" t="s">
        <v>466</v>
      </c>
      <c r="C1911">
        <v>44</v>
      </c>
      <c r="D1911" t="s">
        <v>10</v>
      </c>
      <c r="E1911" t="str">
        <f ca="1">IF(Table1[[#This Row],[is_smoker]]=0,"non-smoker","smoker")</f>
        <v>non-smoker</v>
      </c>
      <c r="F1911" t="s">
        <v>14</v>
      </c>
      <c r="G1911" s="2">
        <v>0.66666666666666596</v>
      </c>
      <c r="H1911" s="2">
        <v>613.40037359173596</v>
      </c>
    </row>
    <row r="1912" spans="1:8" x14ac:dyDescent="0.3">
      <c r="A1912" t="s">
        <v>1980</v>
      </c>
      <c r="B1912" t="s">
        <v>31</v>
      </c>
      <c r="C1912">
        <v>40</v>
      </c>
      <c r="D1912" t="s">
        <v>10</v>
      </c>
      <c r="E1912" t="str">
        <f ca="1">IF(Table1[[#This Row],[is_smoker]]=0,"non-smoker","smoker")</f>
        <v>non-smoker</v>
      </c>
      <c r="F1912" t="s">
        <v>19</v>
      </c>
      <c r="G1912" s="2">
        <v>1.11788617886178</v>
      </c>
      <c r="H1912" s="2">
        <v>1058.3086277141599</v>
      </c>
    </row>
    <row r="1913" spans="1:8" x14ac:dyDescent="0.3">
      <c r="A1913" t="s">
        <v>1981</v>
      </c>
      <c r="B1913" t="s">
        <v>113</v>
      </c>
      <c r="C1913">
        <v>43</v>
      </c>
      <c r="D1913" t="s">
        <v>10</v>
      </c>
      <c r="E1913" t="str">
        <f ca="1">IF(Table1[[#This Row],[is_smoker]]=0,"non-smoker","smoker")</f>
        <v>non-smoker</v>
      </c>
      <c r="F1913" t="s">
        <v>44</v>
      </c>
      <c r="G1913" s="2">
        <v>1.1341463414634101</v>
      </c>
      <c r="H1913" s="2">
        <v>1050.9916244369499</v>
      </c>
    </row>
    <row r="1914" spans="1:8" x14ac:dyDescent="0.3">
      <c r="A1914" t="s">
        <v>1982</v>
      </c>
      <c r="B1914" t="s">
        <v>46</v>
      </c>
      <c r="C1914">
        <v>53</v>
      </c>
      <c r="D1914" t="s">
        <v>10</v>
      </c>
      <c r="E1914" t="str">
        <f ca="1">IF(Table1[[#This Row],[is_smoker]]=0,"non-smoker","smoker")</f>
        <v>non-smoker</v>
      </c>
      <c r="F1914" t="s">
        <v>27</v>
      </c>
      <c r="G1914" s="2">
        <v>0.53252032520325199</v>
      </c>
      <c r="H1914" s="2">
        <v>459.53406468215002</v>
      </c>
    </row>
    <row r="1915" spans="1:8" x14ac:dyDescent="0.3">
      <c r="A1915" t="s">
        <v>1983</v>
      </c>
      <c r="B1915" t="s">
        <v>113</v>
      </c>
      <c r="C1915">
        <v>57</v>
      </c>
      <c r="D1915" t="s">
        <v>10</v>
      </c>
      <c r="E1915" t="str">
        <f ca="1">IF(Table1[[#This Row],[is_smoker]]=0,"non-smoker","smoker")</f>
        <v>non-smoker</v>
      </c>
      <c r="F1915" t="s">
        <v>48</v>
      </c>
      <c r="G1915" s="2">
        <v>0.46341463414634099</v>
      </c>
      <c r="H1915" s="2">
        <v>388.66175873761699</v>
      </c>
    </row>
    <row r="1916" spans="1:8" x14ac:dyDescent="0.3">
      <c r="A1916" t="s">
        <v>1984</v>
      </c>
      <c r="B1916" t="s">
        <v>50</v>
      </c>
      <c r="C1916">
        <v>62</v>
      </c>
      <c r="D1916" t="s">
        <v>17</v>
      </c>
      <c r="E1916" t="str">
        <f ca="1">IF(Table1[[#This Row],[is_smoker]]=0,"non-smoker","smoker")</f>
        <v>non-smoker</v>
      </c>
      <c r="F1916" t="s">
        <v>14</v>
      </c>
      <c r="G1916" s="2">
        <v>0.66666666666666596</v>
      </c>
      <c r="H1916" s="2">
        <v>1553.2090364416599</v>
      </c>
    </row>
    <row r="1917" spans="1:8" x14ac:dyDescent="0.3">
      <c r="A1917" t="s">
        <v>1985</v>
      </c>
      <c r="B1917" t="s">
        <v>29</v>
      </c>
      <c r="C1917">
        <v>52</v>
      </c>
      <c r="D1917" t="s">
        <v>10</v>
      </c>
      <c r="E1917" t="str">
        <f ca="1">IF(Table1[[#This Row],[is_smoker]]=0,"non-smoker","smoker")</f>
        <v>non-smoker</v>
      </c>
      <c r="F1917" t="s">
        <v>19</v>
      </c>
      <c r="G1917" s="2">
        <v>1.11788617886178</v>
      </c>
      <c r="H1917" s="2">
        <v>971.56972308694696</v>
      </c>
    </row>
    <row r="1918" spans="1:8" x14ac:dyDescent="0.3">
      <c r="A1918" t="s">
        <v>1986</v>
      </c>
      <c r="B1918" t="s">
        <v>110</v>
      </c>
      <c r="C1918">
        <v>52</v>
      </c>
      <c r="D1918" t="s">
        <v>17</v>
      </c>
      <c r="E1918" t="str">
        <f ca="1">IF(Table1[[#This Row],[is_smoker]]=0,"non-smoker","smoker")</f>
        <v>non-smoker</v>
      </c>
      <c r="F1918" t="s">
        <v>14</v>
      </c>
      <c r="G1918" s="2">
        <v>0.66666666666666596</v>
      </c>
      <c r="H1918" s="2">
        <v>1667.9327854169501</v>
      </c>
    </row>
    <row r="1919" spans="1:8" x14ac:dyDescent="0.3">
      <c r="A1919" t="s">
        <v>1987</v>
      </c>
      <c r="B1919" t="s">
        <v>46</v>
      </c>
      <c r="C1919">
        <v>47</v>
      </c>
      <c r="D1919" t="s">
        <v>17</v>
      </c>
      <c r="E1919" t="str">
        <f ca="1">IF(Table1[[#This Row],[is_smoker]]=0,"non-smoker","smoker")</f>
        <v>non-smoker</v>
      </c>
      <c r="F1919" t="s">
        <v>27</v>
      </c>
      <c r="G1919" s="2">
        <v>0.53252032520325199</v>
      </c>
      <c r="H1919" s="2">
        <v>1380.6395542084299</v>
      </c>
    </row>
    <row r="1920" spans="1:8" x14ac:dyDescent="0.3">
      <c r="A1920" t="s">
        <v>1988</v>
      </c>
      <c r="B1920" t="s">
        <v>16</v>
      </c>
      <c r="C1920">
        <v>47</v>
      </c>
      <c r="D1920" t="s">
        <v>17</v>
      </c>
      <c r="E1920" t="str">
        <f ca="1">IF(Table1[[#This Row],[is_smoker]]=0,"non-smoker","smoker")</f>
        <v>non-smoker</v>
      </c>
      <c r="F1920" t="s">
        <v>2004</v>
      </c>
      <c r="G1920" s="2">
        <v>1.2073170731707299</v>
      </c>
      <c r="H1920" s="2">
        <v>3130.1522717550001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member_level_pricing_output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NG QI WEN</cp:lastModifiedBy>
  <cp:lastPrinted>2026-08-21T02:39:37Z</cp:lastPrinted>
  <dcterms:created xsi:type="dcterms:W3CDTF">2026-08-21T02:39:48Z</dcterms:created>
  <dcterms:modified xsi:type="dcterms:W3CDTF">2026-08-30T12:59:13Z</dcterms:modified>
</cp:coreProperties>
</file>